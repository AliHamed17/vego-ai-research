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hamed\vego-ai\outputs\iris-next-step-2026-08-01-implementation\"/>
    </mc:Choice>
  </mc:AlternateContent>
  <xr:revisionPtr revIDLastSave="0" documentId="13_ncr:1_{5273625C-C526-41B1-A8B9-7750AD0409DF}" xr6:coauthVersionLast="47" xr6:coauthVersionMax="47" xr10:uidLastSave="{00000000-0000-0000-0000-000000000000}"/>
  <bookViews>
    <workbookView xWindow="0" yWindow="2868" windowWidth="17280" windowHeight="8988" xr2:uid="{00000000-000D-0000-FFFF-FFFF00000000}"/>
  </bookViews>
  <sheets>
    <sheet name="Executive" sheetId="1" r:id="rId1"/>
    <sheet name="Work_Packages" sheetId="2" r:id="rId2"/>
    <sheet name="Control_Acceptance" sheetId="3" r:id="rId3"/>
    <sheet name="Experiment_Crosswalk" sheetId="4" r:id="rId4"/>
    <sheet name="Role_Assignments" sheetId="5" r:id="rId5"/>
    <sheet name="Schedule" sheetId="6" r:id="rId6"/>
    <sheet name="Decision_Log" sheetId="7" r:id="rId7"/>
    <sheet name="Human_Review" sheetId="8" r:id="rId8"/>
    <sheet name="Literature_Search" sheetId="9" r:id="rId9"/>
    <sheet name="Medical_Gates" sheetId="10" r:id="rId10"/>
    <sheet name="Acceptance_Tests" sheetId="11" r:id="rId11"/>
    <sheet name="Controlled_List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8" l="1"/>
  <c r="J23" i="8"/>
  <c r="J22" i="8"/>
  <c r="J21" i="8"/>
  <c r="J20" i="8"/>
  <c r="J19" i="8"/>
  <c r="J18" i="8"/>
  <c r="J17" i="8"/>
  <c r="J16" i="8"/>
  <c r="J15" i="8"/>
  <c r="J14" i="8"/>
  <c r="J13" i="8"/>
  <c r="J12" i="8"/>
  <c r="J11" i="8"/>
  <c r="J10" i="8"/>
  <c r="J9" i="8"/>
  <c r="J8" i="8"/>
  <c r="J7" i="8"/>
  <c r="J6" i="8"/>
  <c r="J5" i="8"/>
  <c r="J4" i="8"/>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B18" i="1"/>
  <c r="B14" i="1"/>
  <c r="B11" i="1"/>
  <c r="E10" i="1"/>
  <c r="E9" i="1"/>
  <c r="E8" i="1"/>
  <c r="B8" i="1"/>
  <c r="E7" i="1"/>
  <c r="B7" i="1"/>
  <c r="E6" i="1"/>
  <c r="B6" i="1"/>
</calcChain>
</file>

<file path=xl/sharedStrings.xml><?xml version="1.0" encoding="utf-8"?>
<sst xmlns="http://schemas.openxmlformats.org/spreadsheetml/2006/main" count="2377" uniqueCount="1383">
  <si>
    <t>VEGO-AI Iris Requirements — Canonical Execution Control</t>
  </si>
  <si>
    <t>Evidence-honest baseline: canonical work, control, experiment, role, and schedule denominators are visible; human and external gates remain open.</t>
  </si>
  <si>
    <t>Baseline Metric</t>
  </si>
  <si>
    <t>Current Value</t>
  </si>
  <si>
    <t>Canonical WP Status</t>
  </si>
  <si>
    <t>Count</t>
  </si>
  <si>
    <t>Immediate Critical Path</t>
  </si>
  <si>
    <t>Control rows</t>
  </si>
  <si>
    <t>blocked</t>
  </si>
  <si>
    <t>Reconcile overdue canonical source/provenance gate</t>
  </si>
  <si>
    <t>partial</t>
  </si>
  <si>
    <t>WP-001</t>
  </si>
  <si>
    <t>Human review pending</t>
  </si>
  <si>
    <t>Closure-eligible controls</t>
  </si>
  <si>
    <t>Complete two independent bilingual reviews</t>
  </si>
  <si>
    <t>WP-002</t>
  </si>
  <si>
    <t>0/1,195 per reviewer</t>
  </si>
  <si>
    <t>Supervisor decisions</t>
  </si>
  <si>
    <t>planned</t>
  </si>
  <si>
    <t>Rehearse exact presentation</t>
  </si>
  <si>
    <t>WP-005</t>
  </si>
  <si>
    <t>Human rehearsal not run</t>
  </si>
  <si>
    <t>Transcript dual review</t>
  </si>
  <si>
    <t>0/1,195</t>
  </si>
  <si>
    <t>evidence_ready</t>
  </si>
  <si>
    <t>Approve/deliver/access-test exact package</t>
  </si>
  <si>
    <t>WP-006</t>
  </si>
  <si>
    <t>Not shared or tested</t>
  </si>
  <si>
    <t>EXP-005 safe labels</t>
  </si>
  <si>
    <t>0/24</t>
  </si>
  <si>
    <t>accepted/final</t>
  </si>
  <si>
    <t>Obtain August 5 decisions</t>
  </si>
  <si>
    <t>WP-007</t>
  </si>
  <si>
    <t>0/10 outcomes</t>
  </si>
  <si>
    <t>Medical readiness</t>
  </si>
  <si>
    <t>Execute first literature tranche</t>
  </si>
  <si>
    <t>WP-009</t>
  </si>
  <si>
    <t>Protocol ready; not run</t>
  </si>
  <si>
    <t>Recipient access tests</t>
  </si>
  <si>
    <t>0/2</t>
  </si>
  <si>
    <t>Keep medicine NO-GO unless G1–G6 pass</t>
  </si>
  <si>
    <t>WP-018</t>
  </si>
  <si>
    <t>0/6</t>
  </si>
  <si>
    <t>Experiment IDs visible</t>
  </si>
  <si>
    <t>26/26 (10 IRIS + 10 canonical + 6 SCI)</t>
  </si>
  <si>
    <t>Canonical roles visible</t>
  </si>
  <si>
    <t>Do not claim completion: structure can pass while readiness and closure remain non-zero until real human/external evidence exists.</t>
  </si>
  <si>
    <t>Workbook as-of (dynamic)</t>
  </si>
  <si>
    <t>VEGO-AI Iris Requirements — Canonical Work Packages</t>
  </si>
  <si>
    <t>Direct view of WP-001 through WP-029 from the canonical JSON board; no aggregate WP namespace remains.</t>
  </si>
  <si>
    <t>WP_ID</t>
  </si>
  <si>
    <t>Work Package</t>
  </si>
  <si>
    <t>Phase</t>
  </si>
  <si>
    <t>Owner Roles</t>
  </si>
  <si>
    <t>Due (local)</t>
  </si>
  <si>
    <t>Timezone</t>
  </si>
  <si>
    <t>Dependencies</t>
  </si>
  <si>
    <t>Status</t>
  </si>
  <si>
    <t>Overdue</t>
  </si>
  <si>
    <t>Controls</t>
  </si>
  <si>
    <t>IRIS Experiments</t>
  </si>
  <si>
    <t>Canonical Experiments</t>
  </si>
  <si>
    <t>Deliverables</t>
  </si>
  <si>
    <t>Acceptance Checks</t>
  </si>
  <si>
    <t>Evidence</t>
  </si>
  <si>
    <t>Gates</t>
  </si>
  <si>
    <t>Reconcile sources, hashes, segment coverage, and provenance</t>
  </si>
  <si>
    <t>Aug 1-2 evidence reconciliation</t>
  </si>
  <si>
    <t>ALI</t>
  </si>
  <si>
    <t>Asia/Jerusalem</t>
  </si>
  <si>
    <t>None</t>
  </si>
  <si>
    <t>R-11, R-12, A-05, A-08, Q-05</t>
  </si>
  <si>
    <t>IRIS-EXP-01, IRIS-EXP-05, IRIS-EXP-07</t>
  </si>
  <si>
    <t>DEL-WP001-01: 1,195-row preliminary disposition ledger | DEL-WP001-02: Current source and derived provenance manifest</t>
  </si>
  <si>
    <t>AC-WP001-01 [pending]: All 1,195 segment IDs and the 46:26.283 timeline are represented without unexplained gaps | AC-WP001-02 [pending]: Raw-source and tracked derived hashes are current and historical registers are identified as snapshots</t>
  </si>
  <si>
    <t>EV-WP001-01 [present_unverified] docs/research/meetings/2026-07-29-iris-zoom-preliminary-disposition.json | EV-WP001-02 [present_unverified] docs/research/meetings/2026-07-29-iris-supervisor-provenance-manifest.md</t>
  </si>
  <si>
    <t>GATE-WP001-01 [pending] Ali reviews the reconciled machine baseline</t>
  </si>
  <si>
    <t>Dual-review and adjudicate the complete bilingual Zoom record</t>
  </si>
  <si>
    <t>Aug 1-3 bilingual review</t>
  </si>
  <si>
    <t>ALI, ZOOM_REVIEWER_B, ZOOM_ADJUDICATOR, IRIS, ARNON</t>
  </si>
  <si>
    <t>IRIS-EXP-06</t>
  </si>
  <si>
    <t>DEL-WP002-01: Dual-reviewed and adjudicated 1,195-row ledger | DEL-WP002-02: Full-media review records for both reviewers</t>
  </si>
  <si>
    <t>AC-WP002-01 [pending]: 1,195 of 1,195 segments are independently reviewed and every disagreement is adjudicated | AC-WP002-02 [pending]: Zero uncategorized segments, zero orphan substantive clauses, and all named quotations have confirmed attribution</t>
  </si>
  <si>
    <t>EV-WP002-01 [pending] docs/research/meetings/2026-07-29-iris-zoom-adjudicated-ledger.json | EV-WP002-02 [pending] docs/research/meetings/2026-07-29-iris-zoom-full-media-review.json</t>
  </si>
  <si>
    <t>GATE-WP002-01 [pending] Independent Reviewer B and bilingual adjudicator complete their work | GATE-WP002-02 [pending] Iris or Arnon confirms any disputed attribution assigned to them</t>
  </si>
  <si>
    <t>WP-003</t>
  </si>
  <si>
    <t>Regenerate the bilingual transcript, call report, and R-A-Q registers</t>
  </si>
  <si>
    <t>Aug 3-4 adjudicated package</t>
  </si>
  <si>
    <t>DEL-WP003-01: Adjudicated bilingual transcript and full call report | DEL-WP003-02: Regenerated requirements, actions, questions, and provenance</t>
  </si>
  <si>
    <t>AC-WP003-01 [pending]: Every substantive clause maps to a stable control or an explicit non-control classification | AC-WP003-02 [pending]: No direct quotation or certain named attribution relies on machine-only evidence</t>
  </si>
  <si>
    <t>EV-WP003-01 [pending] docs/research/meetings/2026-07-29-iris-supervisor-call-report.adjudicated.md | EV-WP003-02 [pending] docs/research/meetings/2026-07-29-iris-adjudicated-control-register.json</t>
  </si>
  <si>
    <t>GATE-WP003-01 [pending] The adjudicated ledger is complete and released for derivation</t>
  </si>
  <si>
    <t>WP-004</t>
  </si>
  <si>
    <t>Build the August 5 supervisor presentation package</t>
  </si>
  <si>
    <t>Aug 2-4 supervisor package</t>
  </si>
  <si>
    <t>IRIS-EXP-01, IRIS-EXP-08</t>
  </si>
  <si>
    <t>DEL-WP004-01: English 12-slide PPTX | DEL-WP004-02: Matching PDF | DEL-WP004-03: Notes, bilingual evidence appendix, decision worksheet, and control manifest</t>
  </si>
  <si>
    <t>AC-WP004-01 [pending]: Exactly 12 core slides fit an 11-minute delivery and all controls are reachable in core or appendix | AC-WP004-02 [pending]: 0/24 labels, 0/6 medical gates, and 25/26 MIMIC tables remain visible with correct claim boundaries</t>
  </si>
  <si>
    <t>EV-WP004-01 [verified] presentations/VEGO-AI-Iris-Supervisor-Decisions-2026-08-05.pptx | EV-WP004-02 [verified] presentations/VEGO-AI-Iris-Supervisor-Decisions-2026-08-05.pdf | EV-WP004-03 [present_unverified] docs/research/meetings/2026-08-05-supervisor-presentation-manifest.md</t>
  </si>
  <si>
    <t>GATE-WP004-01 [pending] Ali approves the exact content and evidence boundaries</t>
  </si>
  <si>
    <t>Render, inspect, and rehearse the exact presentation</t>
  </si>
  <si>
    <t>Aug 4 presentation assurance</t>
  </si>
  <si>
    <t>ALI, IRIS_ROLE_REVIEWER, ARNON_ROLE_REVIEWER, REHEARSAL_RECORDER</t>
  </si>
  <si>
    <t>IRIS-EXP-02, IRIS-EXP-08</t>
  </si>
  <si>
    <t>DEL-WP005-01: Rendered-slide and visual-QA evidence bound to the current PPTX/PDF hashes | DEL-WP005-02: Timed and adversarial rehearsal record</t>
  </si>
  <si>
    <t>AC-WP005-01 [pending]: Fonts, overflow, contrast, tables, citations, Hebrew RTL, notes, PPTX, PDF, screen sharing, and offline backup pass | AC-WP005-02 [pending]: One timed rehearsal and one adversarial Q-and-A rehearsal are completed by four distinct roles</t>
  </si>
  <si>
    <t>EV-WP005-01 [verified] docs/research/meetings/2026-08-05-supervisor-rehearsal-record.md | EV-WP005-02 [present_unverified] docs/research/meetings/2026-08-05-supervisor-rehearsal-record.md</t>
  </si>
  <si>
    <t>GATE-WP005-01 [pending] Presenter, two adversarial role reviewers, and recorder complete the rehearsal</t>
  </si>
  <si>
    <t>Approve, deliver, and access-test the exact supervisor package</t>
  </si>
  <si>
    <t>Aug 4 controlled delivery</t>
  </si>
  <si>
    <t>ALI, IRIS, ARNON</t>
  </si>
  <si>
    <t>WP-004, WP-005</t>
  </si>
  <si>
    <t>R-17, A-04, A-05, Q-07</t>
  </si>
  <si>
    <t>IRIS-EXP-08</t>
  </si>
  <si>
    <t>DEL-WP006-01: Hash-bound local backup and delivery/access record</t>
  </si>
  <si>
    <t>AC-WP006-01 [pending]: Ali reviews the exact delivered version before sharing | AC-WP006-02 [pending]: Iris and Arnon independently pass access tests and delivery metadata records version, hash, permissions, and time</t>
  </si>
  <si>
    <t>EV-WP006-01 [present_unverified] docs/research/meetings/2026-08-05-supervisor-delivery-access-record.md</t>
  </si>
  <si>
    <t>GATE-WP006-01 [pending] Ali approves the exact package | GATE-WP006-02 [pending] Both supervisors independently verify recipient access</t>
  </si>
  <si>
    <t>Obtain and read back August 5 supervisor decisions</t>
  </si>
  <si>
    <t>Aug 5 meeting</t>
  </si>
  <si>
    <t>R-01, R-02, R-03, R-04, R-13, A-01, A-06, Q-01, Q-07, Q-10</t>
  </si>
  <si>
    <t>IRIS-EXP-09</t>
  </si>
  <si>
    <t>DEL-WP007-01: D-RQ-01 through D-RQ-10 outcomes and exact read-back | DEL-WP007-02: Exactly one primary next task with definition of done</t>
  </si>
  <si>
    <t>AC-WP007-01 [pending]: Mandatory D-RQ-01 through 05 and D-RQ-07 receive explicit outcomes; silence remains Deferred | AC-WP007-02 [pending]: RQ wording, Plan A-B, claim boundaries, owners, due dates, and one next task are read back</t>
  </si>
  <si>
    <t>EV-WP007-01 [pending] docs/research/phd-proposal/decision-change-log.md | EV-WP007-02 [pending] docs/research/meetings/2026-08-05-supervisor-minutes.md</t>
  </si>
  <si>
    <t>GATE-WP007-01 [pending] Iris and Arnon explicitly disposition the requested decisions</t>
  </si>
  <si>
    <t>WP-008</t>
  </si>
  <si>
    <t>Issue minutes and propagate decisions within 24 hours</t>
  </si>
  <si>
    <t>Aug 6 closeout</t>
  </si>
  <si>
    <t>R-06, R-13, A-07</t>
  </si>
  <si>
    <t>IRIS-EXP-04, IRIS-EXP-09</t>
  </si>
  <si>
    <t>DEL-WP008-01: Bilingual evidence-linked minutes and written confirmation record | DEL-WP008-02: Propagation and stale-wording audit</t>
  </si>
  <si>
    <t>AC-WP008-01 [pending]: Written confirmation or correction is obtained and every affected artifact is updated without silent deletion | AC-WP008-02 [pending]: Structure and readiness validators are rerun on the exact archived package</t>
  </si>
  <si>
    <t>EV-WP008-01 [pending] docs/research/meetings/2026-08-05-supervisor-minutes.md | EV-WP008-02 [pending] docs/research/phd-proposal/decision-change-log.md</t>
  </si>
  <si>
    <t>GATE-WP008-01 [pending] Supervisors confirm or correct the minutes in writing</t>
  </si>
  <si>
    <t>Execute and log the first literature searches and screening pass</t>
  </si>
  <si>
    <t>Aug 6-12 literature execution</t>
  </si>
  <si>
    <t>R-14, R-15, R-16, A-02, A-03, Q-04</t>
  </si>
  <si>
    <t>DEL-WP009-01: Executed search log, deduplication, screening, and verified seed identities</t>
  </si>
  <si>
    <t>AC-WP009-01 [pending]: Queries, databases, dates, deduplication, inclusion, exclusion, and quality decisions are reproducible</t>
  </si>
  <si>
    <t>EV-WP009-01 [pending] docs/research/phd-proposal/literature-execution-log.json</t>
  </si>
  <si>
    <t>GATE-WP009-01 [pending] Ali verifies paper identities and authors-versus-researcher separation</t>
  </si>
  <si>
    <t>WP-010</t>
  </si>
  <si>
    <t>Deliver proposal v0.2, Clalit brief, Penina map, and process inquiries</t>
  </si>
  <si>
    <t>Aug 6-12 proposal and dependencies</t>
  </si>
  <si>
    <t>ALI, GRADUATE_COORDINATOR, CLINICAL_OWNER</t>
  </si>
  <si>
    <t>R-05, R-17, R-18, R-19, A-04, A-14, A-15, Q-08, Q-09, Q-10</t>
  </si>
  <si>
    <t>DEL-WP010-01: Proposal v0.2 | DEL-WP010-02: Completed Clalit research request | DEL-WP010-03: Penina and university-process response record | DEL-WP010-04: Current proposal v0.2 working draft recorded as partial writing evidence only</t>
  </si>
  <si>
    <t>AC-WP010-01 [pending]: Proposal v0.2 includes approved-or-clearly-pending RQs, studies, methods, resources, risks, and claim boundaries | AC-WP010-02 [pending]: External dates, requirements, availability, and access claims are verified or explicitly marked unverified</t>
  </si>
  <si>
    <t>EV-WP010-01 [pending] docs/research/phd-proposal/proposal-v0.2.md | EV-WP010-02 [pending] docs/research/governance/clalit-research-request.md | EV-WP010-03 [pending] docs/research/phd-proposal/external-process-response-register.json | EV-WP010-04 [verified] docs/research/phd-proposal/proposal-v0.2-working-draft.md</t>
  </si>
  <si>
    <t>GATE-WP010-01 [pending] Authorized university and course contacts provide written responses</t>
  </si>
  <si>
    <t>WP-011</t>
  </si>
  <si>
    <t>Freeze the human-evidence protocol and supervisor decisions</t>
  </si>
  <si>
    <t>Aug 5-6 scientific governance</t>
  </si>
  <si>
    <t>ALI, IRIS, ARNON, METHODS_REVIEWER</t>
  </si>
  <si>
    <t>EXP-005, EXP-019, EXP-020</t>
  </si>
  <si>
    <t>DEL-WP011-01: D-E01 through D-E07 explicit outcomes | DEL-WP011-02: Approved preregistration and any canonical amendments for SCI-EXP gaps</t>
  </si>
  <si>
    <t>AC-WP011-01 [pending]: Vocabulary, consent, thresholds, policy gate, one-time holdout, formal claim rule, and effort-study scope are explicit | AC-WP011-02 [pending]: The four-arm, full reuse-matrix, and longitudinal additions are approved amendments or remain visibly blocked</t>
  </si>
  <si>
    <t>EV-WP011-01 [pending] docs/research/thesis-evidence/SUPERVISOR_EVIDENCE_DECISIONS.md | EV-WP011-02 [pending] docs/research/thesis-evidence/PREREGISTRATION_EXP019_027.md</t>
  </si>
  <si>
    <t>GATE-WP011-01 [pending] Iris and Arnon approve or correct the scientific protocol | GATE-WP011-02 [pending] Applicable ethics and participant-handling requirements are confirmed</t>
  </si>
  <si>
    <t>WP-012</t>
  </si>
  <si>
    <t>Run EXP-019 independent reviewer calibration</t>
  </si>
  <si>
    <t>Aug 6-12 human calibration</t>
  </si>
  <si>
    <t>DOMAIN_REVIEWER_1, DOMAIN_REVIEWER_2, LABEL_ADJUDICATOR</t>
  </si>
  <si>
    <t>EXP-019</t>
  </si>
  <si>
    <t>DEL-WP012-01: Two immutable three-row calibration returns and pair report | DEL-WP012-02: Human-frozen instruction manifest and EXP-020 go-defer decision</t>
  </si>
  <si>
    <t>AC-WP012-01 [pending]: Two distinct eligible humans complete all three excluded rows and both return hashes are frozen | AC-WP012-02 [pending]: Calibration remains generalization-unsafe and transfers no label into evaluation</t>
  </si>
  <si>
    <t>EV-WP012-01 [pending] reports/generated/independent_evidence_v1/validation/calibration/calibration_pair_report.json | EV-WP012-02 [pending] reports/generated/independent_evidence_v1/validation/calibration/calibration_instruction_freeze.json</t>
  </si>
  <si>
    <t>GATE-WP012-01 [pending] Two independent reviewers provide valid calibration returns</t>
  </si>
  <si>
    <t>WP-013</t>
  </si>
  <si>
    <t>Run EXP-020 independent labeling and adjudication</t>
  </si>
  <si>
    <t>Aug 12-19 human evidence</t>
  </si>
  <si>
    <t>EXP-005, EXP-020</t>
  </si>
  <si>
    <t>DEL-WP013-01: Two immutable 24-row blind returns and pre-adjudication agreement | DEL-WP013-02: Adjudicated GoldLabelRecord-v2 set and manifest</t>
  </si>
  <si>
    <t>AC-WP013-01 [pending]: AI output, memory advice, leakage class, and 16-8 partition remain hidden during review | AC-WP013-02 [pending]: Kappa precedes adjudication; raw returns remain immutable; all gold rows have human provenance | AC-WP013-03 [pending]: At 0 labels metrics are null, at 1-19 pilot-only, and at 20-24 quantitative reporting retains small-sample limitations</t>
  </si>
  <si>
    <t>EV-WP013-01 [pending] reports/generated/independent_evidence_v1/validation/reviewer_agreement.json | EV-WP013-02 [pending] reports/generated/independent_evidence_v1/gold/gold_labels.csv</t>
  </si>
  <si>
    <t>GATE-WP013-01 [pending] Two independent reviewers and a distinct adjudicator complete the evidence set</t>
  </si>
  <si>
    <t>WP-014</t>
  </si>
  <si>
    <t>Run EXP-021 and EXP-022 development-only analyses</t>
  </si>
  <si>
    <t>Aug 19 development evidence</t>
  </si>
  <si>
    <t>ALI, METHODS_REVIEWER</t>
  </si>
  <si>
    <t>EXP-021, EXP-022</t>
  </si>
  <si>
    <t>DEL-WP014-01: Development error taxonomy, confusion matrices, and correctability register | DEL-WP014-02: Routing and retrieval validity report</t>
  </si>
  <si>
    <t>AC-WP014-01 [pending]: At least 20 safe labels exist before quantitative analysis and only the 16 development rows are opened | AC-WP014-02 [pending]: The eight-row holdout remains sealed and every error traces to adjudicated rationale | AC-WP014-03 [pending]: Retrieval denominators, exclusions, conflicts, scope, provenance, and negative findings remain visible</t>
  </si>
  <si>
    <t>EV-WP014-01 [pending] reports/generated/independent_evidence_v1/evaluation/development_report.json | EV-WP014-02 [pending] reports/generated/independent_evidence_v1/evaluation/routing_retrieval_validity.json</t>
  </si>
  <si>
    <t>GATE-WP014-01 [pending] At least 20 safe adjudicated labels are frozen</t>
  </si>
  <si>
    <t>WP-015</t>
  </si>
  <si>
    <t>Complete synthesis, methods, resources, and Plan B candidates</t>
  </si>
  <si>
    <t>Aug 12-19 proposal synthesis</t>
  </si>
  <si>
    <t>ALI, METHODS_REVIEWER, EXTERNAL_REPLICATION_OWNER</t>
  </si>
  <si>
    <t>WP-009, WP-010</t>
  </si>
  <si>
    <t>R-14, R-15, R-16, A-03</t>
  </si>
  <si>
    <t>DEL-WP015-01: Critical literature synthesis and gap-to-study matrix | DEL-WP015-02: Methods, metrics, validity, RACI, publication outputs, and two Plan B candidates</t>
  </si>
  <si>
    <t>AC-WP015-01 [pending]: Every claimed gap maps to an RQ, study, experiment, contribution, metric, risk, and fallback | AC-WP015-02 [pending]: At least two non-medical replication candidates are assessed and one authorized route has a named owner and schedule</t>
  </si>
  <si>
    <t>EV-WP015-01 [pending] docs/research/phd-proposal/critical-literature-gap-matrix.md | EV-WP015-02 [pending] docs/research/phd-proposal/plan-b-replication-candidate-register.json</t>
  </si>
  <si>
    <t>GATE-WP015-01 [pending] An authorized non-medical context and owner are confirmed</t>
  </si>
  <si>
    <t>WP-016</t>
  </si>
  <si>
    <t>Freeze one EXP-023 policy candidate or record a justified stop</t>
  </si>
  <si>
    <t>Aug 20-26 scientific gate</t>
  </si>
  <si>
    <t>EXP-023</t>
  </si>
  <si>
    <t>DEL-WP016-01: Approved PolicyCandidateRecord-v1 or explicit stop record</t>
  </si>
  <si>
    <t>AC-WP016-01 [pending]: At least three correctable development errors span at least two settings and advice is relevant, scope-correct, conflict-free, and safe | AC-WP016-02 [pending]: Exactly one deterministic parallel_proposal_only candidate is hash-frozen or work stops | AC-WP016-03 [pending]: Baseline and protected runtime remain unchanged</t>
  </si>
  <si>
    <t>EV-WP016-01 [pending] reports/generated/independent_evidence_v1/policy/policy_candidate.json</t>
  </si>
  <si>
    <t>GATE-WP016-01 [pending] Iris and Arnon approve the explicit candidate or stop decision</t>
  </si>
  <si>
    <t>WP-017</t>
  </si>
  <si>
    <t>Produce proposal v0.3 and freeze the approved research architecture</t>
  </si>
  <si>
    <t>Aug 26 proposal checkpoint</t>
  </si>
  <si>
    <t>WP-008, WP-015</t>
  </si>
  <si>
    <t>R-01, R-02, R-03, R-07, R-08, A-01, Q-01</t>
  </si>
  <si>
    <t>IRIS-EXP-03</t>
  </si>
  <si>
    <t>DEL-WP017-01: Proposal v0.3 | DEL-WP017-02: Supervisor-approved RQ and three-study architecture freeze</t>
  </si>
  <si>
    <t>AC-WP017-01 [pending]: Exactly one umbrella RQ and three SQs map to studies, methods, evidence, artifacts, metrics, fallbacks, and publications | AC-WP017-02 [pending]: Every RQ remains answerable under Plan B and unsupported result language is excluded</t>
  </si>
  <si>
    <t>EV-WP017-01 [pending] docs/research/phd-proposal/proposal-v0.3.md | EV-WP017-02 [pending] docs/research/phd-proposal/research-architecture-freeze.json</t>
  </si>
  <si>
    <t>GATE-WP017-01 [pending] Iris and Arnon approve or correct the RQ-study architecture</t>
  </si>
  <si>
    <t>Run the six-gate medical go-no-go review</t>
  </si>
  <si>
    <t>Aug 26 medical checkpoint</t>
  </si>
  <si>
    <t>ALI, IRIS, ARNON, CLINICAL_OWNER, DATA_CUSTODIAN, PRIVACY_ETHICS_OWNER, VDI_ADMIN, METHODS_REVIEWER</t>
  </si>
  <si>
    <t>R-09, R-10, R-11, R-12, A-08, A-09, A-11, A-15, Q-02, Q-05, Q-06, Q-09</t>
  </si>
  <si>
    <t>DEL-WP018-01: Evidence-linked G1-G6 readiness decision</t>
  </si>
  <si>
    <t>AC-WP018-01 [pending]: Use case, people, authorization, ethics/privacy, environment, and protocol each have authoritative evidence | AC-WP018-02 [pending]: At 0-5 of 6, no patient-row work starts and Plan B activates; only 6 of 6 permits later downstream review</t>
  </si>
  <si>
    <t>EV-WP018-01 [pending] docs/research/governance/medical-readiness-scorecard.md</t>
  </si>
  <si>
    <t>GATE-WP018-01 [pending] Clinical, data, ethics, environment, and methods authorities supply G1-G6 evidence</t>
  </si>
  <si>
    <t>WP-019</t>
  </si>
  <si>
    <t>Commit Plan B or preserve an evidence-backed conditional Plan A</t>
  </si>
  <si>
    <t>Aug 27 route activation</t>
  </si>
  <si>
    <t>ALI, IRIS, ARNON, EXTERNAL_REPLICATION_OWNER</t>
  </si>
  <si>
    <t>R-07, R-09, R-10, A-10, Q-03</t>
  </si>
  <si>
    <t>DEL-WP019-01: Logged route decision, Plan B context, owner, reviewer route, and revised schedule</t>
  </si>
  <si>
    <t>AC-WP019-01 [pending]: Plan B activates automatically if any G1-G6 gate lacks an owner, evidence path, or feasible completion date at the checkpoint; medical access remains outside the critical path | AC-WP019-02 [pending]: Any Plan A continuation is conditional, 6/6 evidenced, and cannot silently displace Plan B milestones</t>
  </si>
  <si>
    <t>EV-WP019-01 [pending] docs/research/phd-proposal/plan-route-decision.json</t>
  </si>
  <si>
    <t>GATE-WP019-01 [pending] The selected non-medical corpus and reviewer route are authorized | GATE-WP019-02 [pending] Supervisors confirm or correct the route wording</t>
  </si>
  <si>
    <t>WP-020</t>
  </si>
  <si>
    <t>Run the one-time EXP-024 sealed holdout pilot if eligible</t>
  </si>
  <si>
    <t>September preliminary evidence</t>
  </si>
  <si>
    <t>EXP-024</t>
  </si>
  <si>
    <t>DEL-WP020-01: One-time eight-row holdout report and EvaluationRunManifest-v2</t>
  </si>
  <si>
    <t>AC-WP020-01 [pending]: Policy, partition, labels, baseline, and source hashes match before the holdout is opened once | AC-WP020-02 [pending]: No policy revision follows outcome inspection and N=8 remains explicitly pilot-only</t>
  </si>
  <si>
    <t>EV-WP020-01 [pending] reports/generated/independent_evidence_v1/evaluation/sealed_holdout_report.json</t>
  </si>
  <si>
    <t>GATE-WP020-01 [pending] An approved frozen policy manifest and unchanged protected hashes exist</t>
  </si>
  <si>
    <t>WP-021</t>
  </si>
  <si>
    <t>Freeze EXP-025 Plan B replication protocol and launch readiness</t>
  </si>
  <si>
    <t>September transfer preparation</t>
  </si>
  <si>
    <t>ALI, EXTERNAL_REPLICATION_OWNER, DOMAIN_REVIEWER_1, DOMAIN_REVIEWER_2, LABEL_ADJUDICATOR, METHODS_REVIEWER</t>
  </si>
  <si>
    <t>WP-019, WP-020</t>
  </si>
  <si>
    <t>EXP-025</t>
  </si>
  <si>
    <t>DEL-WP021-01: Authorized corpus, construct-comparability record, reviewer route, and frozen EXP-025 preregistration</t>
  </si>
  <si>
    <t>AC-WP021-01 [pending]: New external N is at least 30, target 48, with two independent reviewers and adjudication planned before collection | AC-WP021-02 [pending]: Formal claim criteria predeclare paired bootstrap, exact McNemar, macro-F1 non-decline, subgroup safety, and unchanged hashes</t>
  </si>
  <si>
    <t>EV-WP021-01 [pending] docs/research/thesis-evidence/EXP025_PLAN_B_PROTOCOL.json</t>
  </si>
  <si>
    <t>GATE-WP021-01 [pending] Corpus use and the independent external reviewer route are authorized | GATE-WP021-02 [pending] Methods reviewer and supervisors approve the frozen protocol</t>
  </si>
  <si>
    <t>WP-022</t>
  </si>
  <si>
    <t>Preregister human-effort, four-arm, reuse-matrix, and longitudinal studies</t>
  </si>
  <si>
    <t>September protocol convergence</t>
  </si>
  <si>
    <t>ALI, IRIS, ARNON, METHODS_REVIEWER, PRIVACY_ETHICS_OWNER</t>
  </si>
  <si>
    <t>WP-011, WP-015</t>
  </si>
  <si>
    <t>EXP-026, EXP-027</t>
  </si>
  <si>
    <t>DEL-WP022-01: Approved canonical protocol amendments or new IDs for SCI-EXP-01 through 03 and EXP-026</t>
  </si>
  <si>
    <t>AC-WP022-01 [pending]: Four intervention arms, compatible-conflicting-stale-under-specified reuse, longitudinal timepoints, attrition, revocation, and counterbalanced effort measures are frozen before data | AC-WP022-02 [pending]: Human effort uses consented timestamped tasks and never substitutes queue counts for time saved</t>
  </si>
  <si>
    <t>EV-WP022-01 [pending] docs/research/thesis-evidence/scientific-protocol-amendments.json</t>
  </si>
  <si>
    <t>GATE-WP022-01 [pending] Supervisors and methods reviewer approve canonical protocol scope | GATE-WP022-02 [pending] Participant ethics and consent route is approved before human data collection</t>
  </si>
  <si>
    <t>WP-023</t>
  </si>
  <si>
    <t>Complete problem, gap, RQs, and methods sections</t>
  </si>
  <si>
    <t>Sep 2 proposal convergence</t>
  </si>
  <si>
    <t>WP-017, WP-019</t>
  </si>
  <si>
    <t>R-06</t>
  </si>
  <si>
    <t>DEL-WP023-01: Internally complete problem, gap, RQ, and methods sections</t>
  </si>
  <si>
    <t>AC-WP023-01 [pending]: RQ-study-method-evidence mappings are complete and Plan B is the committed path when fallback fired</t>
  </si>
  <si>
    <t>EV-WP023-01 [pending] docs/research/phd-proposal/proposal-v0.5.md</t>
  </si>
  <si>
    <t>GATE-WP023-01 [pending] Ali completes the cross-reference audit</t>
  </si>
  <si>
    <t>WP-024</t>
  </si>
  <si>
    <t>Complete preliminary-evidence and claim-boundary sections</t>
  </si>
  <si>
    <t>Sep 9 proposal convergence</t>
  </si>
  <si>
    <t>WP-013, WP-023</t>
  </si>
  <si>
    <t>DEL-WP024-01: Evidence and claim-boundary section with current EXP-005-020 and medical gate states</t>
  </si>
  <si>
    <t>AC-WP024-01 [pending]: Null, negative, blocked, and incomplete evidence is retained and no result claim exceeds the current safe-label gate</t>
  </si>
  <si>
    <t>EV-WP024-01 [pending] docs/research/phd-proposal/preliminary-evidence-and-claims.md</t>
  </si>
  <si>
    <t>GATE-WP024-01 [pending] Methods reviewer approves the statistical and claim interpretation</t>
  </si>
  <si>
    <t>WP-025</t>
  </si>
  <si>
    <t>Produce the developed proposal draft v0.7</t>
  </si>
  <si>
    <t>Sep 16 developed draft</t>
  </si>
  <si>
    <t>WP-021, WP-022, WP-023, WP-024</t>
  </si>
  <si>
    <t>R-08, A-12</t>
  </si>
  <si>
    <t>DEL-WP025-01: Full proposal v0.7 with resources, ethics, validity, risks, timeline, and references</t>
  </si>
  <si>
    <t>AC-WP025-01 [pending]: Every required proposal section is present and all scientific, medical, effort, and external claims have evidence-state labels</t>
  </si>
  <si>
    <t>EV-WP025-01 [pending] docs/research/phd-proposal/proposal-v0.7.md</t>
  </si>
  <si>
    <t>GATE-WP025-01 [pending] Ali completes citation, link, table, and evidence consistency checks</t>
  </si>
  <si>
    <t>WP-026</t>
  </si>
  <si>
    <t>Resolve supervisor comments and verify institutional rules</t>
  </si>
  <si>
    <t>Sep 23 review closure</t>
  </si>
  <si>
    <t>ALI, IRIS, ARNON, GRADUATE_COORDINATOR</t>
  </si>
  <si>
    <t>R-04, R-05, R-18, A-14, Q-08</t>
  </si>
  <si>
    <t>DEL-WP026-01: Resolved-comment register and authoritative process checklist</t>
  </si>
  <si>
    <t>AC-WP026-01 [pending]: All comments are resolved or explicitly deferred with owners and institutional deadline, audience, reviewer, committee, format, and route are authoritative</t>
  </si>
  <si>
    <t>EV-WP026-01 [pending] docs/research/phd-proposal/proposal-comment-resolution.json</t>
  </si>
  <si>
    <t>GATE-WP026-01 [pending] Iris and Arnon complete proposal review | GATE-WP026-02 [pending] Authorized university contact verifies the process</t>
  </si>
  <si>
    <t>WP-027</t>
  </si>
  <si>
    <t>Obtain target supervisor proposal sign-off</t>
  </si>
  <si>
    <t>Sep 25 sign-off target</t>
  </si>
  <si>
    <t>DEL-WP027-01: Hash-bound supervisor approval or correction record</t>
  </si>
  <si>
    <t>AC-WP027-01 [pending]: Both supervisors explicitly approve, correct, or defer with a due date; silence cannot satisfy sign-off</t>
  </si>
  <si>
    <t>EV-WP027-01 [pending] docs/research/phd-proposal/proposal-supervisor-approval.json</t>
  </si>
  <si>
    <t>GATE-WP027-01 [pending] Iris and Arnon provide explicit written sign-off</t>
  </si>
  <si>
    <t>WP-028</t>
  </si>
  <si>
    <t>Build and validate submission candidate v1.0</t>
  </si>
  <si>
    <t>Sep 30 submission candidate</t>
  </si>
  <si>
    <t>A-13</t>
  </si>
  <si>
    <t>DEL-WP028-01: Proposal v1.0, bibliography, appendices, manifests, and authorized-route checklist</t>
  </si>
  <si>
    <t>AC-WP028-01 [pending]: References, appendices, links, tables, source hashes, claim boundaries, and package hashes pass</t>
  </si>
  <si>
    <t>EV-WP028-01 [pending] docs/research/phd-proposal/submission-candidate-v1.0-manifest.json</t>
  </si>
  <si>
    <t>GATE-WP028-01 [pending] Ali reviews the exact package and validators pass</t>
  </si>
  <si>
    <t>WP-029</t>
  </si>
  <si>
    <t>Close authorized submission and issue the closure certificate</t>
  </si>
  <si>
    <t>Oct 7 submission or approval buffer</t>
  </si>
  <si>
    <t>IRIS-EXP-10</t>
  </si>
  <si>
    <t>DEL-WP029-01: Verified authorized submission receipt bound to the exact package | DEL-WP029-02: Issued closure certificate with final denominator and allowed final states only</t>
  </si>
  <si>
    <t>AC-WP029-01 [pending]: The authorized route, package hash, external receipt, approval, and submission time are independently verifiable | AC-WP029-02 [pending]: Every discovered control is in an allowed final state and any new instruction invalidates an earlier certificate until resolved</t>
  </si>
  <si>
    <t>EV-WP029-01 [pending] docs/research/phd-proposal/authorized-submission-receipt.json | EV-WP029-02 [pending] docs/research/phd-proposal/iris-closure-certificate.json</t>
  </si>
  <si>
    <t>GATE-WP029-01 [pending] Iris and Arnon approve the exact final package and closure disposition | GATE-WP029-02 [pending] Authorized university route returns a verifiable receipt</t>
  </si>
  <si>
    <t>Dynamic Control Acceptance — 19 Requirements / 15 Actions / 10 Questions</t>
  </si>
  <si>
    <t>Final state is Pending for all 44 baseline controls. New discovered controls must receive a stable ID and be appended; closure denominator then increases automatically.</t>
  </si>
  <si>
    <t>Control_ID</t>
  </si>
  <si>
    <t>Kind</t>
  </si>
  <si>
    <t>Type</t>
  </si>
  <si>
    <t>Control Item</t>
  </si>
  <si>
    <t>Source</t>
  </si>
  <si>
    <t>Owner</t>
  </si>
  <si>
    <t>Due/Gate</t>
  </si>
  <si>
    <t>Deliverable/Evidence</t>
  </si>
  <si>
    <t>Acceptance Check</t>
  </si>
  <si>
    <t>Extraction</t>
  </si>
  <si>
    <t>Implementation</t>
  </si>
  <si>
    <t>Acceptance</t>
  </si>
  <si>
    <t>Final State</t>
  </si>
  <si>
    <t>Ongoing Control</t>
  </si>
  <si>
    <t>Closure Eligible</t>
  </si>
  <si>
    <t>Canonical WPs</t>
  </si>
  <si>
    <t>Gate Note</t>
  </si>
  <si>
    <t>R-01</t>
  </si>
  <si>
    <t>Requirement</t>
  </si>
  <si>
    <t>Requirement — proposal architecture</t>
  </si>
  <si>
    <t>Use one umbrella PhD question and exactly three related subquestions.</t>
  </si>
  <si>
    <t>REQ-29JUL/R-01; TRN-29JUL S-0001–S-0002, S-0258–S-0266, S-0537–S-0543, S-0657–S-0660</t>
  </si>
  <si>
    <t>Ali; Iris and Arnon confirm</t>
  </si>
  <si>
    <t>Next supervisor checkpoint; calendar date unverified</t>
  </si>
  <si>
    <t>Q-01; A-01</t>
  </si>
  <si>
    <t>Approved question block and three-study-contract.md</t>
  </si>
  <si>
    <t>One umbrella question and exactly SQ1–SQ3 appear consistently in the proposal and study contract; supervisor decision is logged.</t>
  </si>
  <si>
    <t>Machine-only; dual review pending</t>
  </si>
  <si>
    <t>Evidence ready</t>
  </si>
  <si>
    <t>Pending Iris/Arnon decision</t>
  </si>
  <si>
    <t>Pending</t>
  </si>
  <si>
    <t>5 Aug checkpoint; Ali; exact wording plus decision log</t>
  </si>
  <si>
    <t>WP-007, WP-017</t>
  </si>
  <si>
    <t>Exact working wording is synchronized but provisional until logged approval; do not retain competing five- or six-question sets as active.</t>
  </si>
  <si>
    <t>R-02</t>
  </si>
  <si>
    <t>Requirement — study mapping</t>
  </si>
  <si>
    <t>Map each subquestion to a concrete study, method, evidence/data, and artifact.</t>
  </si>
  <si>
    <t>REQ-29JUL/R-02; TRN-29JUL S-0002–S-0004, S-0011–S-0013</t>
  </si>
  <si>
    <t>Ali; supervisors approve</t>
  </si>
  <si>
    <t>Before proposal architecture is frozen</t>
  </si>
  <si>
    <t>R-01; Q-01; Q-03</t>
  </si>
  <si>
    <t>three-study-contract.md and proposal study table</t>
  </si>
  <si>
    <t>Every SQ has method, data/evidence, artifact, metrics, contribution, dependencies, fallback, and publication target; no empty required field.</t>
  </si>
  <si>
    <t>5 Aug checkpoint; Ali; study-contract decision</t>
  </si>
  <si>
    <t>All study outcomes are Planned until executed; medical variants are partner-dependent.</t>
  </si>
  <si>
    <t>R-03</t>
  </si>
  <si>
    <t>Requirement — proposal contents</t>
  </si>
  <si>
    <t>Include motivation, literature review, research questions, methodology/artifacts, preliminary results, and work plan/timeline.</t>
  </si>
  <si>
    <t>REQ-29JUL/R-03; TRN-29JUL S-0007–S-0018</t>
  </si>
  <si>
    <t>Ali</t>
  </si>
  <si>
    <t>Developed September draft; exact date unverified</t>
  </si>
  <si>
    <t>R-01, R-02, R-04, R-08, R-18</t>
  </si>
  <si>
    <t>Full proposal draft with six-section completeness checklist</t>
  </si>
  <si>
    <t>All six areas are present, cross-referenced, and traceable to claims, studies, and milestones.</t>
  </si>
  <si>
    <t>Each proposal version; Ali; six-area completeness evidence</t>
  </si>
  <si>
    <t>Preliminary results must remain software/modeling evidence; medicine is not reported as achieved.</t>
  </si>
  <si>
    <t>R-04</t>
  </si>
  <si>
    <t>Requirement — doctoral adequacy</t>
  </si>
  <si>
    <t>Demonstrate novelty, doctoral scale, literature positioning, feasibility, available skills/resources, and schedule credibility.</t>
  </si>
  <si>
    <t>REQ-29JUL/R-04; TRN-29JUL S-0027–S-0033</t>
  </si>
  <si>
    <t>Ali; supervisors judge adequacy</t>
  </si>
  <si>
    <t>Proposal submission gate</t>
  </si>
  <si>
    <t>R-02, R-03, R-09, R-18; resource/RAID register</t>
  </si>
  <si>
    <t>Doctoral-adequacy section, contribution table, feasibility case, resource plan, and schedule</t>
  </si>
  <si>
    <t>Each adequacy dimension has evidence or a named mitigation; supervisors record accepted or accepted-with-changes.</t>
  </si>
  <si>
    <t>Partial</t>
  </si>
  <si>
    <t>Pending Iris/Arnon adequacy review</t>
  </si>
  <si>
    <t>Weekly proposal delta; Ali; novelty/scale/resource evidence</t>
  </si>
  <si>
    <t>WP-007, WP-026</t>
  </si>
  <si>
    <t>Novelty is Preliminary until literature synthesis and supervisor review; feasibility cannot rely only on medicine.</t>
  </si>
  <si>
    <t>R-05</t>
  </si>
  <si>
    <t>Requirement — candidacy presentation</t>
  </si>
  <si>
    <t>Prepare a short reviewer-orientation presentation focused on progress and questions, not a duplicate of the proposal.</t>
  </si>
  <si>
    <t>REQ-29JUL/R-05; TRN-29JUL S-0046–S-0052</t>
  </si>
  <si>
    <t>After candidacy process and date are formally confirmed</t>
  </si>
  <si>
    <t>A-14; Q-08; R-03</t>
  </si>
  <si>
    <t>Concise candidacy deck and presenter notes</t>
  </si>
  <si>
    <t>Deck orients reviewers, summarizes progress/evidence boundaries, names decisions sought, and fits the verified time limit.</t>
  </si>
  <si>
    <t>Not started — blocked</t>
  </si>
  <si>
    <t>Pending authoritative candidacy rules</t>
  </si>
  <si>
    <t>On official-process response; A-14 owner; candidacy checklist</t>
  </si>
  <si>
    <t>WP-010, WP-026</t>
  </si>
  <si>
    <t>Do not invent presentation duration, reviewer count, or committee rules.</t>
  </si>
  <si>
    <t>Requirement — parallel progress</t>
  </si>
  <si>
    <t>Continue writing and research while reviewer/committee logistics proceed.</t>
  </si>
  <si>
    <t>REQ-29JUL/R-06; TRN-29JUL S-0127–S-0149</t>
  </si>
  <si>
    <t>Weekly and ongoing</t>
  </si>
  <si>
    <t>R-13; A-07; A-14</t>
  </si>
  <si>
    <t>Dated weekly pre-reads, proposal deltas, and completed artifacts</t>
  </si>
  <si>
    <t>Every week records completed evidence, one next task, blockers, and proposal text advanced even if administration is pending.</t>
  </si>
  <si>
    <t>Pending first accepted weekly cycle</t>
  </si>
  <si>
    <t>Weekly; Ali; pre-read, proposal delta, and closeout record</t>
  </si>
  <si>
    <t>WP-008, WP-023</t>
  </si>
  <si>
    <t>Administrative uncertainty is not a reason to suspend Plan B work.</t>
  </si>
  <si>
    <t>R-07</t>
  </si>
  <si>
    <t>Requirement — domain neutrality</t>
  </si>
  <si>
    <t>Keep questions answerable in software/modeling; medicine is a conditional evaluation context.</t>
  </si>
  <si>
    <t>REQ-29JUL/R-07; TRN-29JUL S-0448–S-0475</t>
  </si>
  <si>
    <t>Ali; supervisors confirm</t>
  </si>
  <si>
    <t>Next RQ draft and every later revision</t>
  </si>
  <si>
    <t>R-01, R-02, R-09, R-10</t>
  </si>
  <si>
    <t>Domain-neutral question block and Plan A/Plan B mapping</t>
  </si>
  <si>
    <t>Each question can be answered by the non-medical baseline and has an optional medical instantiation without changing its scientific meaning.</t>
  </si>
  <si>
    <t>Each RQ revision; Ali; Plan B answerability check</t>
  </si>
  <si>
    <t>No medicine-only doctorate; Plan B is the protected default.</t>
  </si>
  <si>
    <t>R-08</t>
  </si>
  <si>
    <t>Requirement — evidence boundary</t>
  </si>
  <si>
    <t>Identify current results as software/modeling evidence; medical work remains feasibility or planned evaluation.</t>
  </si>
  <si>
    <t>REQ-29JUL/R-08; TRN-29JUL S-0436–S-0446</t>
  </si>
  <si>
    <t>Ali; claim-register owner</t>
  </si>
  <si>
    <t>Before every proposal/report release</t>
  </si>
  <si>
    <t>Claim register; EXP-005 gate; Q-02, Q-05</t>
  </si>
  <si>
    <t>Claim register, proposal preliminary-results table, release claim check</t>
  </si>
  <si>
    <t>Every result has a claim state and source; no clinical or medical performance statement appears without approved evidence.</t>
  </si>
  <si>
    <t>Pending Iris/Arnon claim-boundary decision</t>
  </si>
  <si>
    <t>Every release; Ali; claim register and evidence check</t>
  </si>
  <si>
    <t>WP-017, WP-025</t>
  </si>
  <si>
    <t>EXP-005 remains 0/24; no accuracy/generalization or clinical-performance claim.</t>
  </si>
  <si>
    <t>R-09</t>
  </si>
  <si>
    <t>Requirement — medical dependency risk</t>
  </si>
  <si>
    <t>Do not make feasibility depend solely on medical data, experts, signatures, permissions, or access.</t>
  </si>
  <si>
    <t>REQ-29JUL/R-09; TRN-29JUL S-0382–S-0389, S-0403–S-0408, S-0462–S-0475</t>
  </si>
  <si>
    <t>Ali; Iris/Arnon; clinical and governance owners currently unfilled</t>
  </si>
  <si>
    <t>Before any medical commitment; fallback review by 2026-08-26</t>
  </si>
  <si>
    <t>A-09, A-15; Q-02, Q-05, Q-09, Q-10</t>
  </si>
  <si>
    <t>Medical readiness checklist, named owners, RAID entries, Plan B schedule</t>
  </si>
  <si>
    <t>All six entry gates G1–G6 have documented owners, evidence paths, and feasible completion dates by 2026-08-26; otherwise execution defaults to Plan B. All six must pass before row-level access is considered.</t>
  </si>
  <si>
    <t>Pending medical-route/fallback decision</t>
  </si>
  <si>
    <t>26 Aug gate; Ali/supervisors; G1–G6 scorecard</t>
  </si>
  <si>
    <t>WP-018, WP-019</t>
  </si>
  <si>
    <t>Data alone is insufficient. Named clinicians, governance, and infrastructure are mandatory.</t>
  </si>
  <si>
    <t>R-10</t>
  </si>
  <si>
    <t>Requirement — two-plan fallback</t>
  </si>
  <si>
    <t>Present Plan A and Plan B with dependencies, decision point, and fallback triggers.</t>
  </si>
  <si>
    <t>REQ-29JUL/R-10; TRN-29JUL S-1153–S-1169</t>
  </si>
  <si>
    <t>Next proposal iteration; decision checkpoint 2026-08-26</t>
  </si>
  <si>
    <t>R-07, R-09; A-09, A-10; Q-02, Q-03</t>
  </si>
  <si>
    <t>Proposal alternatives table, fallback rule, RAID decision record</t>
  </si>
  <si>
    <t>Both plans answer the same questions and preserve doctoral contribution; Plan B activates automatically if any G1–G6 gate lacks an owner, evidence path, or feasible completion date at the checkpoint.</t>
  </si>
  <si>
    <t>5 Aug and 26 Aug; Ali; Plan A/B and fallback log</t>
  </si>
  <si>
    <t>Plan A is medical-enabled and partner-dependent; Plan B is the non-medical execution baseline.</t>
  </si>
  <si>
    <t>R-11</t>
  </si>
  <si>
    <t>Requirement — time-boxed familiarization</t>
  </si>
  <si>
    <t>Inspect medical resources only enough to understand shape, gaps, and relevance; stop before deep medical study.</t>
  </si>
  <si>
    <t>REQ-29JUL/R-11; TRN-29JUL S-0740–S-0819</t>
  </si>
  <si>
    <t>Alongside next RQ draft; before 2026-08-26 decision</t>
  </si>
  <si>
    <t>A-08; Q-05; R-12, R-17</t>
  </si>
  <si>
    <t>Bounded MIMIC/resource sanity-check note with start/stop time, inventory, unknowns, and no data analysis</t>
  </si>
  <si>
    <t>Note addresses schema/data shape, relevance, missing information, governance questions, and stop condition; no full download or clinical inference.</t>
  </si>
  <si>
    <t>Pending human audit review</t>
  </si>
  <si>
    <t>26 Aug gate; Ali; bounded metadata-audit record</t>
  </si>
  <si>
    <t>WP-001, WP-018</t>
  </si>
  <si>
    <t>Familiarization does not select MIMIC or authorize use; no raw patient data enters the repo. The audit date/scope is evidenced, but a four-hour elapsed-time claim is not.</t>
  </si>
  <si>
    <t>R-12</t>
  </si>
  <si>
    <t>Requirement — restricted-data and LLM compliance</t>
  </si>
  <si>
    <t>Keep restricted data in the VDI; use only approved local/offline models; preserve purpose-bound, non-transferable access.</t>
  </si>
  <si>
    <t>REQ-29JUL/R-12; TRN-29JUL S-0844–S-0890, S-0950–S-0955</t>
  </si>
  <si>
    <t>Data controller/security owner unfilled; Ali documents; supervisors accountable for research scope</t>
  </si>
  <si>
    <t>Before any restricted-data experiment</t>
  </si>
  <si>
    <t>A-11; Q-05, Q-06, Q-09; ethics/privacy approval</t>
  </si>
  <si>
    <t>Approved data-flow/security note, access register, local-model approval, and proposal constraint statement</t>
  </si>
  <si>
    <t>Authorized owner confirms storage, access, model, logging, retention, and export rules; technical runbook passes review before execution.</t>
  </si>
  <si>
    <t>Pending authorized data/security owner</t>
  </si>
  <si>
    <t>Before any restricted work; owner unfilled; approved data-flow evidence</t>
  </si>
  <si>
    <t>Meeting statements are not an independently verified Clalit policy; fail closed until written approval.</t>
  </si>
  <si>
    <t>R-13</t>
  </si>
  <si>
    <t>Requirement — weekly cadence</t>
  </si>
  <si>
    <t>Hold short, task-focused weekly meetings with completed work, one next task, and writing progress.</t>
  </si>
  <si>
    <t>REQ-29JUL/R-13; TRN-29JUL S-0482–S-0531, S-0825–S-0828, S-1045–S-1057</t>
  </si>
  <si>
    <t>Iris/host for invite; Ali for pre-read; Iris and Arnon for decisions</t>
  </si>
  <si>
    <t>Weekly; Wednesday 09:00 series confirmed</t>
  </si>
  <si>
    <t>A-06, A-07; Q-07</t>
  </si>
  <si>
    <t>Recurring VEGO series accepted by Ali, Iris, and Arnon, plus completed weekly-supervisor-pre-read.md per meeting</t>
  </si>
  <si>
    <t>Recurrence is visible and accepted; each future meeting must still close with one accepted task, owner, due date, and decision read-back.</t>
  </si>
  <si>
    <t>Pending task-focused-cycle acceptance; recurrence evidenced</t>
  </si>
  <si>
    <t>Weekly Wednesday; Ali; pre-read/read-back/one-task evidence</t>
  </si>
  <si>
    <t>WP-007, WP-008</t>
  </si>
  <si>
    <t>Recurrence is established; the task-focused pre-read/closeout discipline remains an ongoing acceptance check.</t>
  </si>
  <si>
    <t>R-14</t>
  </si>
  <si>
    <t>Requirement — next-meeting package</t>
  </si>
  <si>
    <t>Deliver RQ hierarchy, related-work scope, review start, Excel template, and seed papers.</t>
  </si>
  <si>
    <t>REQ-29JUL/R-14; TRN-29JUL S-0537–S-0550, S-0657–S-0667</t>
  </si>
  <si>
    <t>Next confirmed supervisor meeting</t>
  </si>
  <si>
    <t>R-01, R-02, R-15, R-16; A-01–A-03; Q-01, Q-04</t>
  </si>
  <si>
    <t>Working hierarchy and study contract; native literature Sheet with six seed rows; remaining package links</t>
  </si>
  <si>
    <t>All five artifacts open successfully; the search is started and evidenced; no fabricated minimum count; supervisors receive the package only after Ali’s review.</t>
  </si>
  <si>
    <t>Pending Ali package review and supervisor receipt</t>
  </si>
  <si>
    <t>Per supervisor checkpoint; Ali; exact package manifest</t>
  </si>
  <si>
    <t>WP-009, WP-015</t>
  </si>
  <si>
    <t>Sheet/template existence is established; search execution, package review, sending, and supervisor acceptance remain open.</t>
  </si>
  <si>
    <t>R-15</t>
  </si>
  <si>
    <t>Requirement — literature matrix</t>
  </si>
  <si>
    <t>Maintain one paper per Excel row with bibliographic, study/evidence, and researcher-synthesis field groups.</t>
  </si>
  <si>
    <t>REQ-29JUL/R-15; TRN-29JUL S-0551–S-0628</t>
  </si>
  <si>
    <t>Initial template/seed tranche implemented; then ongoing</t>
  </si>
  <si>
    <t>A-03; Q-04; R-16, R-19</t>
  </si>
  <si>
    <t>Native literature Sheet in 03LiteratureReview: six tabs, five native tables/dropdowns, six seeded paper rows</t>
  </si>
  <si>
    <t>Initial workbook structure and seed rows exist; final taxonomy, row-level source verification, and ongoing screening must still pass validation.</t>
  </si>
  <si>
    <t>Pending taxonomy/workbook acceptance</t>
  </si>
  <si>
    <t>Weekly during review; Ali; one-row-per-paper validation</t>
  </si>
  <si>
    <t>Artifact existence does not establish literature completeness, novelty, or verified paper conclusions.</t>
  </si>
  <si>
    <t>R-16</t>
  </si>
  <si>
    <t>Requirement — living literature resource</t>
  </si>
  <si>
    <t>Keep the matrix current, group papers, expose gaps, and link gaps to contributions.</t>
  </si>
  <si>
    <t>REQ-29JUL/R-16; TRN-29JUL S-0629–S-0656</t>
  </si>
  <si>
    <t>Ali; supervisors review synthesis</t>
  </si>
  <si>
    <t>Ongoing; weekly update during active review</t>
  </si>
  <si>
    <t>R-15, R-19; Q-04</t>
  </si>
  <si>
    <t>Same native Sheet; SearchLog protocol is ready; synthesis/gap views and execution evidence remain required</t>
  </si>
  <si>
    <t>Searches are executed and logged; screened/included rows are updated; each category has synthesis, limitations, gap status, and proposal-use mapping.</t>
  </si>
  <si>
    <t>Pending synthesis acceptance</t>
  </si>
  <si>
    <t>Weekly during review; Ali; search/screening/gap evidence</t>
  </si>
  <si>
    <t>Novelty stays Preliminary until the corpus, screening, and synthesis are completed and reviewed.</t>
  </si>
  <si>
    <t>R-17</t>
  </si>
  <si>
    <t>Requirement — shared workspace and source protection</t>
  </si>
  <si>
    <t>Use a meaningful shared PhD workspace; keep the shared MIMIC/source area read-only and work separately.</t>
  </si>
  <si>
    <t>REQ-29JUL/R-17; TRN-29JUL S-0720–S-0739, S-0973–S-1010, S-1033–S-1044</t>
  </si>
  <si>
    <t>Ali for working area; Iris/resource owner for source share</t>
  </si>
  <si>
    <t>Before next meeting</t>
  </si>
  <si>
    <t>A-04, A-05; Q-07; R-12</t>
  </si>
  <si>
    <t>Private Ali-owned Drive root with all nine specified subfolders; source/working separation; 3 August metadata/ACL/authorization split; future recipient access-test evidence</t>
  </si>
  <si>
    <t>Private structure exists; Ali must approve sharing; supervisors must pass access tests; observable source metadata must remain consistent; ACL/viewer-only state and named-user authorization must be independently verified; no sensitive data enters an unapproved location.</t>
  </si>
  <si>
    <t>Pending Ali sharing authorization and two access tests</t>
  </si>
  <si>
    <t>Before delivery; Ali; permission and source-integrity record</t>
  </si>
  <si>
    <t>WP-006, WP-010</t>
  </si>
  <si>
    <t>The root has not been shared externally; no package-sent or supervisor-access claim is allowed. Metadata visibility and download capability do not prove viewer-only ACL or research-use authorization.</t>
  </si>
  <si>
    <t>R-18</t>
  </si>
  <si>
    <t>Requirement — milestones</t>
  </si>
  <si>
    <t>Produce a developed September draft and target full submission by early October/pre-October, subject to official confirmation.</t>
  </si>
  <si>
    <t>REQ-29JUL/R-18; TRN-29JUL S-0496–S-0499, S-0672–S-0681</t>
  </si>
  <si>
    <t>Ali; supervisors; Graduate Studies confirms formal dates</t>
  </si>
  <si>
    <t>September draft; early October working target</t>
  </si>
  <si>
    <t>A-12, A-13, A-14; Q-08</t>
  </si>
  <si>
    <t>Baseline schedule, weekly milestone evidence, formal-deadline confirmation</t>
  </si>
  <si>
    <t>Draft and submission checkpoints are dated; official dates are cited from an authoritative source; variance is logged and mitigated.</t>
  </si>
  <si>
    <t>Pending official dates and supervisor acceptance</t>
  </si>
  <si>
    <t>Weekly schedule review; Ali; authoritative-date/change evidence</t>
  </si>
  <si>
    <t>The plan may use internal dates but must label them working targets until A-14 closes.</t>
  </si>
  <si>
    <t>R-19</t>
  </si>
  <si>
    <t>Requirement — Penina course reuse</t>
  </si>
  <si>
    <t>Complete the course work and trace reusable outputs into the proposal.</t>
  </si>
  <si>
    <t>REQ-29JUL/R-19; TRN-29JUL S-0186–S-0206</t>
  </si>
  <si>
    <t>Course and proposal schedule; exact course date unverified</t>
  </si>
  <si>
    <t>R-15, R-16; Q-04</t>
  </si>
  <si>
    <t>Course presentation/written survey plus proposal reuse map</t>
  </si>
  <si>
    <t>Course deliverables exist; every reused figure, synthesis, taxonomy, or paragraph has provenance and is adapted to the proposal rather than copied blindly.</t>
  </si>
  <si>
    <t>Pending course/date/provenance review</t>
  </si>
  <si>
    <t>At course milestones; Ali; reuse map and source evidence</t>
  </si>
  <si>
    <t>Course work can support literature positioning but does not itself establish novelty or system performance.</t>
  </si>
  <si>
    <t>A-01</t>
  </si>
  <si>
    <t>Action</t>
  </si>
  <si>
    <t>Action — next meeting</t>
  </si>
  <si>
    <t>Draft one main RQ, three SQs, and the study/method/artifact map.</t>
  </si>
  <si>
    <t>ACT-29JUL/A-01</t>
  </si>
  <si>
    <t>Next confirmed meeting</t>
  </si>
  <si>
    <t>R-01, R-02; Q-01</t>
  </si>
  <si>
    <t>Question block and three-study-contract.md</t>
  </si>
  <si>
    <t>Exactly three SQs; all study-contract fields populated; supervisor review requested.</t>
  </si>
  <si>
    <t>5 Aug checkpoint; Ali; RQ/study package</t>
  </si>
  <si>
    <t>Wording and mapping remain provisional until a decision is logged.</t>
  </si>
  <si>
    <t>A-02</t>
  </si>
  <si>
    <t>Action — literature review</t>
  </si>
  <si>
    <t>Define related-work types and begin the review.</t>
  </si>
  <si>
    <t>ACT-29JUL/A-02</t>
  </si>
  <si>
    <t>R-14, R-15, R-16; Q-04</t>
  </si>
  <si>
    <t>SearchLog protocol in the native literature Sheet, taxonomy, and future executed searches</t>
  </si>
  <si>
    <t>Protocol fields are ready; databases/queries are actually run and dated; screening and synthesis evidence is recorded.</t>
  </si>
  <si>
    <t>Pending executed-search evidence</t>
  </si>
  <si>
    <t>Weekly literature tranche; Ali; dated search log</t>
  </si>
  <si>
    <t>No literature finding or novelty conclusion may be inferred from a ready protocol alone.</t>
  </si>
  <si>
    <t>A-03</t>
  </si>
  <si>
    <t>Action — literature matrix</t>
  </si>
  <si>
    <t>Build and seed the Excel literature matrix.</t>
  </si>
  <si>
    <t>ACT-29JUL/A-03</t>
  </si>
  <si>
    <t>Initial tranche complete; ongoing screening/search by next checkpoint</t>
  </si>
  <si>
    <t>Native literature Sheet: six tabs, five native tables/dropdowns, six seeded paper rows</t>
  </si>
  <si>
    <t>Initial template/seed tranche exists; sources and row completeness are validated during ongoing screening; authors’ conclusions remain separate from Ali’s synthesis.</t>
  </si>
  <si>
    <t>Acceptance check passed</t>
  </si>
  <si>
    <t>Pending supervisor acceptance of scope</t>
  </si>
  <si>
    <t>Weekly literature maintenance; Ali; workbook row validation</t>
  </si>
  <si>
    <t>Do not fabricate missing paper details or treat seed rows as a completed review.</t>
  </si>
  <si>
    <t>A-04</t>
  </si>
  <si>
    <t>Action — workspace</t>
  </si>
  <si>
    <t>Create the separate shared PhD working area, upload current outputs, and confirm access.</t>
  </si>
  <si>
    <t>ACT-29JUL/A-04</t>
  </si>
  <si>
    <t>Before next confirmed meeting</t>
  </si>
  <si>
    <t>R-17; Q-07</t>
  </si>
  <si>
    <t>Private Drive root with nine specified subfolders; future sharing and access-test evidence</t>
  </si>
  <si>
    <t>Structure exists privately; Ali reviews contents/permissions, then Iris and Arnon can open expected artifacts; source and working folders remain distinct.</t>
  </si>
  <si>
    <t>Pending Ali authorization and access confirmation</t>
  </si>
  <si>
    <t>Before sharing; Ali; permission/access-test evidence</t>
  </si>
  <si>
    <t>Not shared externally; no source edits, sensitive-data upload, package-sent, or supervisor-access claim.</t>
  </si>
  <si>
    <t>A-05</t>
  </si>
  <si>
    <t>Action — source resources</t>
  </si>
  <si>
    <t>Share MIMIC index, CSV/schema, guideline, and class-diagram resources with viewer access.</t>
  </si>
  <si>
    <t>ACT-29JUL/A-05</t>
  </si>
  <si>
    <t>Iris/resource-providing speaker</t>
  </si>
  <si>
    <t>Reported during/after call; receipt verification immediate</t>
  </si>
  <si>
    <t>R-17; Q-05, Q-07</t>
  </si>
  <si>
    <t>Source-folder URL, item inventory, permission test</t>
  </si>
  <si>
    <t>Ali can view named resources; no edit rights are required; owner and usage restrictions are recorded.</t>
  </si>
  <si>
    <t>Pending source receipt and usage-authority verification</t>
  </si>
  <si>
    <t>On source-owner response; accountable owner; inventory/permission proof</t>
  </si>
  <si>
    <t>WP-001, WP-006</t>
  </si>
  <si>
    <t>Access is not approval to copy, process, or publish.</t>
  </si>
  <si>
    <t>A-06</t>
  </si>
  <si>
    <t>Action — cadence</t>
  </si>
  <si>
    <t>Finalize weekly Wednesday 09:00 invitations and move conflicts.</t>
  </si>
  <si>
    <t>ACT-29JUL/A-06</t>
  </si>
  <si>
    <t>Iris/host</t>
  </si>
  <si>
    <t>Completed; maintain weekly</t>
  </si>
  <si>
    <t>R-13; Q-07</t>
  </si>
  <si>
    <t>Recurring VEGO calendar series accepted by Ali; Iris and Arnon accepted</t>
  </si>
  <si>
    <t>Recurrence, participants, timezone, and next occurrence are visible and accepted.</t>
  </si>
  <si>
    <t>Confirmed for calendar recurrence only</t>
  </si>
  <si>
    <t>Weekly; host/Ali; recurrence plus meeting outcome record</t>
  </si>
  <si>
    <t>Calendar acceptance is established; individual meeting outcomes still require weekly records.</t>
  </si>
  <si>
    <t>A-07</t>
  </si>
  <si>
    <t>Action — weekly execution</t>
  </si>
  <si>
    <t>Report completed work, choose one next task, and advance writing every week.</t>
  </si>
  <si>
    <t>ACT-29JUL/A-07</t>
  </si>
  <si>
    <t>Ali; Iris and Arnon</t>
  </si>
  <si>
    <t>Weekly</t>
  </si>
  <si>
    <t>R-06, R-13; A-06</t>
  </si>
  <si>
    <t>Completed weekly pre-read and decision/change log</t>
  </si>
  <si>
    <t>Previous task is accepted/rejected with evidence; exactly one priority task has owner, due date, and definition of done.</t>
  </si>
  <si>
    <t>Pending first complete one-task cycle</t>
  </si>
  <si>
    <t>Weekly; Ali; accepted evidence and next-task record</t>
  </si>
  <si>
    <t>Progress claims require links or reviewed artifacts.</t>
  </si>
  <si>
    <t>A-08</t>
  </si>
  <si>
    <t>Action — medical sanity check</t>
  </si>
  <si>
    <t>Perform a bounded MIMIC/medical-resource inspection and document shape, gaps, relevance, and stop point.</t>
  </si>
  <si>
    <t>ACT-29JUL/A-08</t>
  </si>
  <si>
    <t>Alongside next RQ draft; before 2026-08-26</t>
  </si>
  <si>
    <t>R-11, R-12, R-17; Q-05</t>
  </si>
  <si>
    <t>Time-boxed sanity-check note</t>
  </si>
  <si>
    <t>Inspection stays metadata/schema-first; records unknowns and stop decision; no prohibited download, clinical inference, or model use.</t>
  </si>
  <si>
    <t>Pending audit timing and human review</t>
  </si>
  <si>
    <t>26 Aug gate; Ali; metadata-only audit evidence</t>
  </si>
  <si>
    <t>MIMIC remains exploratory, not selected. Do not claim four elapsed hours without a timing record.</t>
  </si>
  <si>
    <t>A-09</t>
  </si>
  <si>
    <t>Action — medical route</t>
  </si>
  <si>
    <t>Validate medical field/route, named experts, data, permissions, and access.</t>
  </si>
  <si>
    <t>ACT-29JUL/A-09</t>
  </si>
  <si>
    <t>Iris and Arnon; clinical/governance owners unfilled</t>
  </si>
  <si>
    <t>Before medical commitment; mandatory review 2026-08-26</t>
  </si>
  <si>
    <t>R-09, R-10, R-12; Q-02, Q-05, Q-09, Q-10</t>
  </si>
  <si>
    <t>Signed six-gate readiness scorecard and partner/governance evidence</t>
  </si>
  <si>
    <t>G1–G6 each have a documented owner, evidence path, and feasible completion date at the checkpoint; otherwise Plan B activates. All six pass before row-level access is considered.</t>
  </si>
  <si>
    <t>Pending named medical/governance owners</t>
  </si>
  <si>
    <t>26 Aug gate; supervisors/owners; G1–G6 proof</t>
  </si>
  <si>
    <t>Partner-dependent; silence or verbal optimism does not satisfy a gate.</t>
  </si>
  <si>
    <t>A-10</t>
  </si>
  <si>
    <t>Action — proposal strategy</t>
  </si>
  <si>
    <t>Draft Plan A and Plan B with explicit fallback triggers.</t>
  </si>
  <si>
    <t>ACT-29JUL/A-10</t>
  </si>
  <si>
    <t>Next proposal iteration</t>
  </si>
  <si>
    <t>R-07, R-09, R-10; Q-02, Q-03</t>
  </si>
  <si>
    <t>Proposal alternatives section and decision rule</t>
  </si>
  <si>
    <t>Both plans answer the same RQs, have viable study/data paths and publication outputs, and state the 2026-08-26 automatic fallback.</t>
  </si>
  <si>
    <t>Pending Plan A/B decision</t>
  </si>
  <si>
    <t>5 Aug and 26 Aug; Ali; fallback decision record</t>
  </si>
  <si>
    <t>Plan B must be executable without medical access.</t>
  </si>
  <si>
    <t>A-11</t>
  </si>
  <si>
    <t>Action — data and LLM constraints</t>
  </si>
  <si>
    <t>Document VDI/privacy/local-LLM constraints and later inventory approved local models.</t>
  </si>
  <si>
    <t>ACT-29JUL/A-11</t>
  </si>
  <si>
    <t>Ali; data/security owner unfilled</t>
  </si>
  <si>
    <t>Constraint now; model selection before restricted processing</t>
  </si>
  <si>
    <t>R-12; Q-05, Q-06, Q-09</t>
  </si>
  <si>
    <t>Proposal constraint paragraph, data-flow checklist, approved-model register</t>
  </si>
  <si>
    <t>Authorized owner confirms environment and model; no online/commercial endpoint can receive restricted content.</t>
  </si>
  <si>
    <t>Pending written environment/model authority</t>
  </si>
  <si>
    <t>Before restricted processing; security owner; approved-model register</t>
  </si>
  <si>
    <t>Fail closed; no model is “approved” by technical suitability alone.</t>
  </si>
  <si>
    <t>A-12</t>
  </si>
  <si>
    <t>Action — proposal milestone</t>
  </si>
  <si>
    <t>Produce a developed proposal draft for supervisor feedback.</t>
  </si>
  <si>
    <t>ACT-29JUL/A-12</t>
  </si>
  <si>
    <t>September working target; exact date unverified</t>
  </si>
  <si>
    <t>R-01–R-04, R-07–R-19; A-01–A-11</t>
  </si>
  <si>
    <t>Full draft and completeness/claim checks</t>
  </si>
  <si>
    <t>Six required sections are complete enough for substantive review; all open decisions and claim states are visible.</t>
  </si>
  <si>
    <t>Pending developed-draft review</t>
  </si>
  <si>
    <t>Weekly to September target; Ali; versioned proposal/checklist</t>
  </si>
  <si>
    <t>Date remains internal until A-14 confirms formal schedule.</t>
  </si>
  <si>
    <t>Action — submission milestone</t>
  </si>
  <si>
    <t>Work toward full proposal submission by early October/pre-October.</t>
  </si>
  <si>
    <t>ACT-29JUL/A-13</t>
  </si>
  <si>
    <t>Ali; supervisors</t>
  </si>
  <si>
    <t>Early October working target; formal date pending</t>
  </si>
  <si>
    <t>R-18; A-12, A-14; Q-08</t>
  </si>
  <si>
    <t>Submission-ready package and authoritative deadline evidence</t>
  </si>
  <si>
    <t>Supervisor-approved package meets verified institutional checklist and is submitted through the authorized route.</t>
  </si>
  <si>
    <t>Not started</t>
  </si>
  <si>
    <t>Pending official route and submission evidence</t>
  </si>
  <si>
    <t>On confirmed deadline; Ali; approved package and receipt</t>
  </si>
  <si>
    <t>WP-028, WP-029</t>
  </si>
  <si>
    <t>Do not report “submitted” without receipt evidence.</t>
  </si>
  <si>
    <t>A-14</t>
  </si>
  <si>
    <t>Action — university governance</t>
  </si>
  <si>
    <t>Confirm candidacy deadline, reviewer count, nomination process, and committee rules.</t>
  </si>
  <si>
    <t>ACT-29JUL/A-14</t>
  </si>
  <si>
    <t>Ali initiates; supervisors and Graduate Studies confirm</t>
  </si>
  <si>
    <t>Before treating process guidance as policy</t>
  </si>
  <si>
    <t>Q-08; R-05, R-18</t>
  </si>
  <si>
    <t>Written response or authoritative university source with date and owner</t>
  </si>
  <si>
    <t>All four process fields have cited authoritative answers; contradictions with the work plan are reconciled in the change log.</t>
  </si>
  <si>
    <t>Pending Graduate Studies response</t>
  </si>
  <si>
    <t>Immediate inquiry; assigned owner; authoritative policy evidence</t>
  </si>
  <si>
    <t>Meeting statements remain guidance, not policy.</t>
  </si>
  <si>
    <t>A-15</t>
  </si>
  <si>
    <t>Action — partner coordination</t>
  </si>
  <si>
    <t>Keep Ali in the Clalit/innovation-partner loop and clarify the next external meeting.</t>
  </si>
  <si>
    <t>ACT-29JUL/A-15</t>
  </si>
  <si>
    <t>Iris/team</t>
  </si>
  <si>
    <t>Immediate/next partner contact</t>
  </si>
  <si>
    <t>R-09, R-10; Q-09, Q-10</t>
  </si>
  <si>
    <t>Meeting invitation/minutes, partner map, and use-case request</t>
  </si>
  <si>
    <t>Ali is included; date, attendees, partner identity, purpose, questions, decisions, and next owner are recorded.</t>
  </si>
  <si>
    <t>Pending written partner event/status</t>
  </si>
  <si>
    <t>On partner response; external owner; invitation/minutes evidence</t>
  </si>
  <si>
    <t>WP-010, WP-018</t>
  </si>
  <si>
    <t>No partner commitment or access is established until written evidence exists.</t>
  </si>
  <si>
    <t>Q-01</t>
  </si>
  <si>
    <t>Open question</t>
  </si>
  <si>
    <t>Open question — RQ wording</t>
  </si>
  <si>
    <t>What is the final umbrella-question and SQ1–SQ3 wording?</t>
  </si>
  <si>
    <t>ACT-29JUL/Q-01</t>
  </si>
  <si>
    <t>Ali drafts; Iris and Arnon decide</t>
  </si>
  <si>
    <t>R-01, R-02; A-01</t>
  </si>
  <si>
    <t>Decision-log entry and approved question block</t>
  </si>
  <si>
    <t>Decision records exact wording, rationale, approvers, date, and affected documents.</t>
  </si>
  <si>
    <t>5 Aug checkpoint; supervisors; exact wording outcome</t>
  </si>
  <si>
    <t>Working wording in the study contract is not supervisor approval.</t>
  </si>
  <si>
    <t>Q-02</t>
  </si>
  <si>
    <t>Open question — medical role</t>
  </si>
  <si>
    <t>Will medicine be used, and which field/collaboration route will be selected?</t>
  </si>
  <si>
    <t>ACT-29JUL/Q-02</t>
  </si>
  <si>
    <t>Iris, Arnon, partner/clinical lead unfilled</t>
  </si>
  <si>
    <t>Before medical commitment; default review 2026-08-26</t>
  </si>
  <si>
    <t>R-07, R-09, R-10; A-09</t>
  </si>
  <si>
    <t>Route decision and six-gate readiness evidence</t>
  </si>
  <si>
    <t>G1–G6 readiness is documented by the checkpoint and all six gates must pass before row-level access; otherwise Plan B is recorded.</t>
  </si>
  <si>
    <t>Pending medical-role decision</t>
  </si>
  <si>
    <t>26 Aug gate; supervisors/clinical owner; route evidence</t>
  </si>
  <si>
    <t>Partner-dependent; default is Plan B at the checkpoint.</t>
  </si>
  <si>
    <t>Q-03</t>
  </si>
  <si>
    <t>Open question — fallback boundary</t>
  </si>
  <si>
    <t>What differentiates Plan A and Plan B, and what triggers fallback?</t>
  </si>
  <si>
    <t>ACT-29JUL/Q-03</t>
  </si>
  <si>
    <t>Ali proposes; supervisors decide</t>
  </si>
  <si>
    <t>Next proposal iteration; no later than 2026-08-26</t>
  </si>
  <si>
    <t>R-10; A-10</t>
  </si>
  <si>
    <t>Alternatives table and signed decision/change entry</t>
  </si>
  <si>
    <t>Plans share scientific questions and contribution; mandatory gates and automatic fallback are explicit.</t>
  </si>
  <si>
    <t>5 Aug checkpoint; supervisors; fallback outcome</t>
  </si>
  <si>
    <t>Internal control defines Plan A as medical-enabled and Plan B as non-medical; supervisor confirmation remains pending.</t>
  </si>
  <si>
    <t>Q-04</t>
  </si>
  <si>
    <t>Open question — literature taxonomy</t>
  </si>
  <si>
    <t>What are the final literature categories and synthesis columns?</t>
  </si>
  <si>
    <t>ACT-29JUL/Q-04</t>
  </si>
  <si>
    <t>Ali proposes; supervisors review</t>
  </si>
  <si>
    <t>R-15, R-16, R-19; A-02, A-03</t>
  </si>
  <si>
    <t>Workbook data dictionary and taxonomy decision</t>
  </si>
  <si>
    <t>Categories cover core human-AI, agentic/HITL, governed reuse, evaluation, software/modeling, and conditional medical work; column definitions are unambiguous.</t>
  </si>
  <si>
    <t>Pending literature-taxonomy decision</t>
  </si>
  <si>
    <t>5 Aug/next literature review; supervisors; field decision</t>
  </si>
  <si>
    <t>Taxonomy changes must preserve author/researcher separation.</t>
  </si>
  <si>
    <t>Q-05</t>
  </si>
  <si>
    <t>Open question — MIMIC status</t>
  </si>
  <si>
    <t>Is MIMIC selected, and what license, access, privacy, and ethics rules apply?</t>
  </si>
  <si>
    <t>ACT-29JUL/Q-05</t>
  </si>
  <si>
    <t>Data owner/governance authority unfilled; supervisors</t>
  </si>
  <si>
    <t>Before experiment design</t>
  </si>
  <si>
    <t>R-11, R-12, R-17; A-05, A-08, A-09</t>
  </si>
  <si>
    <t>Authoritative license/access/ethics determination and dataset decision</t>
  </si>
  <si>
    <t>Owner, permitted purpose, users, storage, transformations, exports, retention, and publication rules are documented; selection is explicitly accepted or rejected.</t>
  </si>
  <si>
    <t>Pending authoritative dataset/governance decision</t>
  </si>
  <si>
    <t>Before experiment design; data owner; license/access/ethics proof</t>
  </si>
  <si>
    <t>Viewer access is not selection or permission to process.</t>
  </si>
  <si>
    <t>Q-06</t>
  </si>
  <si>
    <t>Open question — local models</t>
  </si>
  <si>
    <t>Which local/offline LLMs are institutionally approved and technically suitable?</t>
  </si>
  <si>
    <t>ACT-29JUL/Q-06</t>
  </si>
  <si>
    <t>Data/security authority and technical owner unfilled</t>
  </si>
  <si>
    <t>Before any restricted-data model use</t>
  </si>
  <si>
    <t>R-12; A-11</t>
  </si>
  <si>
    <t>Approved-model register and offline verification</t>
  </si>
  <si>
    <t>Model/runtime is named, approved in writing, tested with network disabled, and operated under documented access/logging rules.</t>
  </si>
  <si>
    <t>Pending institutional model approval</t>
  </si>
  <si>
    <t>Before model use; security owner; offline-model approval/test</t>
  </si>
  <si>
    <t>No commercial or connected model receives restricted data.</t>
  </si>
  <si>
    <t>Q-07</t>
  </si>
  <si>
    <t>Open question — cadence/workspace</t>
  </si>
  <si>
    <t>Are Wednesday 09:00 meetings and Drive permissions active?</t>
  </si>
  <si>
    <t>ACT-29JUL/Q-07</t>
  </si>
  <si>
    <t>Iris/host; Ali verifies; Arnon confirms</t>
  </si>
  <si>
    <t>Immediate</t>
  </si>
  <si>
    <t>R-13, R-17; A-04–A-06</t>
  </si>
  <si>
    <t>Recurring VEGO calendar series accepted by all three participants; private Drive root exists but is not externally shared</t>
  </si>
  <si>
    <t>Calendar portion passes; Drive portion closes only after Ali authorizes sharing and Iris/Arnon pass access tests; source remains viewer/read-only.</t>
  </si>
  <si>
    <t>Pending Drive sharing/access portion; calendar confirmed</t>
  </si>
  <si>
    <t>Before delivery; Ali/host; permission and access-test record</t>
  </si>
  <si>
    <t>WP-006, WP-007</t>
  </si>
  <si>
    <t>Do not conflate calendar acceptance with supervisor access to the private Drive or package delivery.</t>
  </si>
  <si>
    <t>Q-08</t>
  </si>
  <si>
    <t>Open question — candidacy policy</t>
  </si>
  <si>
    <t>What are the official dates, reviewer count, nomination process, and committee rules?</t>
  </si>
  <si>
    <t>ACT-29JUL/Q-08</t>
  </si>
  <si>
    <t>Graduate Studies/university; Ali and supervisors</t>
  </si>
  <si>
    <t>Before formal scheduling or submission claim</t>
  </si>
  <si>
    <t>R-05, R-18; A-14</t>
  </si>
  <si>
    <t>Authoritative dated response and reconciled schedule</t>
  </si>
  <si>
    <t>All requested fields are answered from an official source and reflected in proposal/calendar controls.</t>
  </si>
  <si>
    <t>Pending authoritative candidacy-policy response</t>
  </si>
  <si>
    <t>Immediate inquiry; A-14 owner; dated official evidence</t>
  </si>
  <si>
    <t>Formal policy must not be reconstructed from the transcript.</t>
  </si>
  <si>
    <t>Q-09</t>
  </si>
  <si>
    <t>Open question — Clalit request</t>
  </si>
  <si>
    <t>What exact research use case and access prerequisites should be submitted to Clalit?</t>
  </si>
  <si>
    <t>ACT-29JUL/Q-09</t>
  </si>
  <si>
    <t>Iris/Arnon/clinical lead unfilled; Ali drafts</t>
  </si>
  <si>
    <t>Before advancing partner request</t>
  </si>
  <si>
    <t>R-09, R-12; A-09, A-11, A-15</t>
  </si>
  <si>
    <t>One-page use-case brief and prerequisite checklist</t>
  </si>
  <si>
    <t>Brief states problem, users, data minimum, human role, output, evaluation, environment, risks, exclusions, and requested decision.</t>
  </si>
  <si>
    <t>Pending clinical use-case/partner prerequisites</t>
  </si>
  <si>
    <t>Before partner request; clinical owner; approved one-page brief</t>
  </si>
  <si>
    <t>Access expected in conversation is not provisioned access.</t>
  </si>
  <si>
    <t>Q-10</t>
  </si>
  <si>
    <t>Open question — partner status</t>
  </si>
  <si>
    <t>Was the proposed Clalit meeting accepted, and what are the retrieval mechanism and second partner?</t>
  </si>
  <si>
    <t>ACT-29JUL/Q-10</t>
  </si>
  <si>
    <t>Before treating opportunity as committed</t>
  </si>
  <si>
    <t>A-15; Q-02, Q-09</t>
  </si>
  <si>
    <t>Confirmed invitation/minutes and partner/mechanism record</t>
  </si>
  <si>
    <t>Meeting status, identities, roles, mechanism meaning, decisions, and next steps are documented by an accountable participant.</t>
  </si>
  <si>
    <t>Pending accountable partner clarification</t>
  </si>
  <si>
    <t>On partner response; Iris/team; invitation/minutes/mechanism record</t>
  </si>
  <si>
    <t>WP-007, WP-010</t>
  </si>
  <si>
    <t>Unclear transcript terminology must be human-corrected before use.</t>
  </si>
  <si>
    <t>Experiment Coverage and Crosswalk</t>
  </si>
  <si>
    <t>All 10 IRIS assurance experiments, 10 canonical execution experiments, and 6 SCI proposal aliases are explicit; SCI aliases never create a second result set.</t>
  </si>
  <si>
    <t>Layer</t>
  </si>
  <si>
    <t>Experiment_ID</t>
  </si>
  <si>
    <t>Name</t>
  </si>
  <si>
    <t>Current Evidence State</t>
  </si>
  <si>
    <t>Mapped WPs</t>
  </si>
  <si>
    <t>Canonical/Related Mapping</t>
  </si>
  <si>
    <t>Locator</t>
  </si>
  <si>
    <t>Claim Boundary</t>
  </si>
  <si>
    <t>Assurance</t>
  </si>
  <si>
    <t>IRIS-EXP-01</t>
  </si>
  <si>
    <t>Requirements traceability conformance</t>
  </si>
  <si>
    <t>PASS on 2026-07-30: 44/44 controls and locators; audited readiness distribution preserved</t>
  </si>
  <si>
    <t>WP-001, WP-004</t>
  </si>
  <si>
    <t>Governed by IRIS assurance protocol</t>
  </si>
  <si>
    <t>../../../experiments/IRIS-EXP-01-requirements-traceability-conformance/README.md</t>
  </si>
  <si>
    <t>Structural coverage is not substantive completion, human transcript confirmation, or supervisor approval.</t>
  </si>
  <si>
    <t>IRIS-EXP-02</t>
  </si>
  <si>
    <t>Supervisor presentation and decision rehearsal</t>
  </si>
  <si>
    <t>Automated/local package preflight PASS on 2026-08-01; live timed and adversarial human rehearsals NOT RUN</t>
  </si>
  <si>
    <t>../../../experiments/IRIS-EXP-02-supervisor-presentation-decision-rehearsal/README.md</t>
  </si>
  <si>
    <t>Rehearsal readiness is not a real decision or approval by Iris or Arnon.</t>
  </si>
  <si>
    <t>Claim-language and evidence-boundary audit</t>
  </si>
  <si>
    <t>PASS on 2026-07-30: canonical wording and high-risk boundary checks pass</t>
  </si>
  <si>
    <t>WP-017, WP-024</t>
  </si>
  <si>
    <t>../../../experiments/IRIS-EXP-03-claim-language-evidence-boundary-audit/README.md</t>
  </si>
  <si>
    <t>Language consistency does not independently validate evidence truth or quality.</t>
  </si>
  <si>
    <t>IRIS-EXP-04</t>
  </si>
  <si>
    <t>Weekly commitment closure and change propagation</t>
  </si>
  <si>
    <t>Structural preflight PASS on 2026-07-30; first real weekly cycle NOT RUN</t>
  </si>
  <si>
    <t>../../../experiments/IRIS-EXP-04-weekly-commitment-closure-change-propagation/README.md</t>
  </si>
  <si>
    <t>Process conformance is not scientific validation or inferred supervisor acceptance.</t>
  </si>
  <si>
    <t>IRIS-EXP-05</t>
  </si>
  <si>
    <t>Media-to-transcript coverage</t>
  </si>
  <si>
    <t>Structural PASS on 2026-08-01; full-media human review pending</t>
  </si>
  <si>
    <t>../../../experiments/IRIS-EXP-05-media-transcript-coverage/README.md</t>
  </si>
  <si>
    <t>Machine-level coverage does not establish transcription accuracy, speaker identity, or supervisor intent.</t>
  </si>
  <si>
    <t>Bilingual meaning and speaker assurance</t>
  </si>
  <si>
    <t>Structural PASS on 2026-08-01; two independent reviews and adjudication NOT RUN</t>
  </si>
  <si>
    <t>WP-002, WP-003</t>
  </si>
  <si>
    <t>../../../experiments/IRIS-EXP-06-bilingual-meaning-speaker-assurance/README.md</t>
  </si>
  <si>
    <t>Reviewed meaning is not substantive approval, external-fact verification, or task completion.</t>
  </si>
  <si>
    <t>IRIS-EXP-07</t>
  </si>
  <si>
    <t>Canonical status and provenance consistency</t>
  </si>
  <si>
    <t>Structural PASS on 2026-08-01 for the preliminary ledger; broader human truth remains pending</t>
  </si>
  <si>
    <t>../../../experiments/IRIS-EXP-07-canonical-status-provenance-consistency/README.md</t>
  </si>
  <si>
    <t>Record consistency does not prove scientific quality or create human acceptance.</t>
  </si>
  <si>
    <t>Presentation and delivery assurance</t>
  </si>
  <si>
    <t>Structural/local artifact PASS on 2026-08-01; human rehearsal, Ali approval, delivery, and access evidence pending; NOT SHARED</t>
  </si>
  <si>
    <t>WP-004, WP-005, WP-006</t>
  </si>
  <si>
    <t>../../../experiments/IRIS-EXP-08-presentation-delivery-assurance/README.md</t>
  </si>
  <si>
    <t>Package and delivery readiness are not meeting attendance or supervisor approval.</t>
  </si>
  <si>
    <t>Supervisor acceptance and propagation</t>
  </si>
  <si>
    <t>Structural PASS on 2026-08-01; real supervisor outcomes pending</t>
  </si>
  <si>
    <t>../../../experiments/IRIS-EXP-09-supervisor-acceptance-propagation/README.md</t>
  </si>
  <si>
    <t>A passing process audit does not mean every control was accepted; final row states remain authoritative.</t>
  </si>
  <si>
    <t>Final closure certificate</t>
  </si>
  <si>
    <t>Structural PASS on 2026-08-01; NOT ELIGIBLE and certificate NOT ISSUED</t>
  </si>
  <si>
    <t>../../../experiments/IRIS-EXP-10-final-closure-certificate/README.md</t>
  </si>
  <si>
    <t>A certificate is bounded to its evidence/revision and cannot authorize medical work or prove more than the cited evidence.</t>
  </si>
  <si>
    <t>Canonical scientific</t>
  </si>
  <si>
    <t>EXP-005</t>
  </si>
  <si>
    <t>real label accuracy gate</t>
  </si>
  <si>
    <t>WP-011:blocked; WP-013:blocked</t>
  </si>
  <si>
    <t>WP-011, WP-013</t>
  </si>
  <si>
    <t>experiments/EXP-005-real-label-accuracy-gate/README.md</t>
  </si>
  <si>
    <t>No result claim before the canonical protocol, human gates, and claim-state checks pass.</t>
  </si>
  <si>
    <t>reviewer calibration</t>
  </si>
  <si>
    <t>WP-011:blocked; WP-012:blocked</t>
  </si>
  <si>
    <t>WP-011, WP-012</t>
  </si>
  <si>
    <t>experiments/EXP-019-reviewer-calibration/README.md</t>
  </si>
  <si>
    <t>EXP-020</t>
  </si>
  <si>
    <t>independent expert labeling</t>
  </si>
  <si>
    <t>experiments/EXP-020-independent-expert-labeling/README.md</t>
  </si>
  <si>
    <t>EXP-021</t>
  </si>
  <si>
    <t>development baseline error analysis</t>
  </si>
  <si>
    <t>WP-014:blocked</t>
  </si>
  <si>
    <t>experiments/EXP-021-development-baseline-error-analysis/README.md</t>
  </si>
  <si>
    <t>EXP-022</t>
  </si>
  <si>
    <t>routing retrieval validity</t>
  </si>
  <si>
    <t>experiments/EXP-022-routing-retrieval-validity/README.md</t>
  </si>
  <si>
    <t>deterministic policy development</t>
  </si>
  <si>
    <t>WP-016:blocked</t>
  </si>
  <si>
    <t>experiments/EXP-023-deterministic-policy-development/README.md</t>
  </si>
  <si>
    <t>sealed holdout pilot</t>
  </si>
  <si>
    <t>WP-020:blocked</t>
  </si>
  <si>
    <t>experiments/EXP-024-sealed-holdout-pilot/README.md</t>
  </si>
  <si>
    <t>external education replication</t>
  </si>
  <si>
    <t>WP-021:blocked</t>
  </si>
  <si>
    <t>experiments/EXP-025-external-education-replication/README.md</t>
  </si>
  <si>
    <t>EXP-026</t>
  </si>
  <si>
    <t>human effort study</t>
  </si>
  <si>
    <t>WP-022:blocked</t>
  </si>
  <si>
    <t>experiments/EXP-026-human-effort-study/README.md</t>
  </si>
  <si>
    <t>EXP-027</t>
  </si>
  <si>
    <t>ablation robustness</t>
  </si>
  <si>
    <t>experiments/EXP-027-ablation-robustness/README.md</t>
  </si>
  <si>
    <t>Proposal alias</t>
  </si>
  <si>
    <t>SCI-EXP-01</t>
  </si>
  <si>
    <t>Selective intervention</t>
  </si>
  <si>
    <t>EXP-005/EXP-020 remain 0/24; two reviewers and adjudication are absent. Existing replay findings are mechanism/Pareto evidence only. No optimal intervention, accuracy, calibration, effort, or latency benefit may be claimed.</t>
  </si>
  <si>
    <t>See canonical mapping</t>
  </si>
  <si>
    <t>Mechanism inputs: EXP-006, EXP-007, EXP-008, EXP-013, EXP-015, and EXP-016. Human/evaluation chain: EXP-019–EXP-026, especially EXP-021, EXP-022, EXP-023, EXP-024, and EXP-026.</t>
  </si>
  <si>
    <t>docs/research/phd-proposal/scientific-experiment-crosswalk.md</t>
  </si>
  <si>
    <t>Alias has no independent result state.</t>
  </si>
  <si>
    <t>SCI-EXP-02</t>
  </si>
  <si>
    <t>Governed judgment reuse</t>
  </si>
  <si>
    <t>Synthetic and offline safety findings do not establish safe reuse with real experts or improved outcomes. Human retrieval validity is blocked by the zero-label chain.</t>
  </si>
  <si>
    <t>Mechanism/safety anchors: EXP-009, EXP-016, EXP-017, and EXP-035. Human relevance and follow-up: EXP-022 and EXP-027.</t>
  </si>
  <si>
    <t>SCI-EXP-03</t>
  </si>
  <si>
    <t>Longitudinal reuse</t>
  </si>
  <si>
    <t>Planned only. Current reproducibility and scale evidence is operational, not longitudinal human-reuse evidence. No decay, maintenance-effort, acceptance, or error-propagation result may be claimed.</t>
  </si>
  <si>
    <t>Replication/effort/robustness anchors: EXP-025, EXP-026, EXP-027, EXP-028, and EXP-036.</t>
  </si>
  <si>
    <t>SCI-EXP-04</t>
  </si>
  <si>
    <t>Plan B transfer</t>
  </si>
  <si>
    <t>Proposal only; not approved or run. This is the only planned formal-improvement gate, and every EXP-025 criterion must pass. Failure or null results remain reportable but do not support improvement.</t>
  </si>
  <si>
    <t>Primary anchor: EXP-025. Preparation and interpretation: EXP-019, EXP-020, EXP-026, and EXP-027.</t>
  </si>
  <si>
    <t>SCI-EXP-05</t>
  </si>
  <si>
    <t>Plan A medical transfer</t>
  </si>
  <si>
    <t>Medical readiness is 0/6. No row-level access, clinical experiment, medical result, safety conclusion, or patient-benefit claim is permitted. Plan B activates at the checkpoint if any gate lacks an owner, evidence path, or feasible date; medical execution separately requires all 6/6 gates to pass.</t>
  </si>
  <si>
    <t>No active canonical medical experiment exists. If all medical gates pass, methods may reuse the reviewer, replication, effort, and robustness controls from EXP-019, EXP-020, EXP-025, EXP-026, and EXP-027, but those protocols do not authorize clinical work.</t>
  </si>
  <si>
    <t>SCI-EXP-06</t>
  </si>
  <si>
    <t>Ablation and usability</t>
  </si>
  <si>
    <t>Proposal/human-gated except for existing offline safety and operational evidence. No component-necessity, usability, decision-value, or effort conclusion exists yet.</t>
  </si>
  <si>
    <t>Primary ablation anchor: EXP-027. Human-effort and interface anchors: EXP-026, EXP-031, and EXP-032. Safety/operational context: EXP-035 and EXP-036.</t>
  </si>
  <si>
    <t>All 19 Canonical Human, External, and Tool Roles</t>
  </si>
  <si>
    <t>Roles are copied from the canonical board. Unfilled roles remain explicit blockers; data, ethics, VDI, and methods roles are not bundled.</t>
  </si>
  <si>
    <t>Role_ID</t>
  </si>
  <si>
    <t>Role</t>
  </si>
  <si>
    <t>Current Assignee</t>
  </si>
  <si>
    <t>Filled</t>
  </si>
  <si>
    <t>Gate Bindings</t>
  </si>
  <si>
    <t>Evidence Required</t>
  </si>
  <si>
    <t>Fail-Closed Consequence</t>
  </si>
  <si>
    <t>Program lead and proposal author</t>
  </si>
  <si>
    <t>internal_human</t>
  </si>
  <si>
    <t>YES</t>
  </si>
  <si>
    <t>GATE-WP001-01, GATE-WP002-01, GATE-WP004-01, GATE-WP005-01, GATE-WP006-01, GATE-WP009-01, GATE-WP020-01, GATE-WP023-01, GATE-WP025-01, GATE-WP028-01</t>
  </si>
  <si>
    <t>Dated decisions and role-specific acceptance evidence</t>
  </si>
  <si>
    <t>Role exists; evidence gates still apply</t>
  </si>
  <si>
    <t>IRIS</t>
  </si>
  <si>
    <t>Supervisor and academic approver</t>
  </si>
  <si>
    <t>Iris</t>
  </si>
  <si>
    <t>GATE-WP002-02, GATE-WP006-02, GATE-WP007-01, GATE-WP008-01, GATE-WP011-01, GATE-WP016-01, GATE-WP017-01, GATE-WP019-02, GATE-WP021-02, GATE-WP022-01, GATE-WP026-01, GATE-WP027-01, GATE-WP029-01</t>
  </si>
  <si>
    <t>ARNON</t>
  </si>
  <si>
    <t>Arnon</t>
  </si>
  <si>
    <t>ZOOM_REVIEWER_B</t>
  </si>
  <si>
    <t>Independent Hebrew-English call reviewer</t>
  </si>
  <si>
    <t>human_gate</t>
  </si>
  <si>
    <t>NO</t>
  </si>
  <si>
    <t>Unfilled human</t>
  </si>
  <si>
    <t>GATE-WP002-01</t>
  </si>
  <si>
    <t>Name, acceptance, availability, and independent evidence return</t>
  </si>
  <si>
    <t>Mapped gates remain blocked</t>
  </si>
  <si>
    <t>ZOOM_ADJUDICATOR</t>
  </si>
  <si>
    <t>Bilingual call adjudicator</t>
  </si>
  <si>
    <t>GATE-WP002-01, GATE-WP003-01</t>
  </si>
  <si>
    <t>IRIS_ROLE_REVIEWER</t>
  </si>
  <si>
    <t>Adversarial rehearsal reviewer acting in the Iris role</t>
  </si>
  <si>
    <t>GATE-WP005-01</t>
  </si>
  <si>
    <t>ARNON_ROLE_REVIEWER</t>
  </si>
  <si>
    <t>Adversarial rehearsal reviewer acting in the Arnon role</t>
  </si>
  <si>
    <t>REHEARSAL_RECORDER</t>
  </si>
  <si>
    <t>Rehearsal evidence recorder</t>
  </si>
  <si>
    <t>DOMAIN_REVIEWER_1</t>
  </si>
  <si>
    <t>Independent software-modeling reviewer 1</t>
  </si>
  <si>
    <t>GATE-WP012-01, GATE-WP013-01</t>
  </si>
  <si>
    <t>DOMAIN_REVIEWER_2</t>
  </si>
  <si>
    <t>Independent software-modeling reviewer 2</t>
  </si>
  <si>
    <t>LABEL_ADJUDICATOR</t>
  </si>
  <si>
    <t>Independent label adjudicator</t>
  </si>
  <si>
    <t>GATE-WP013-01, GATE-WP014-01</t>
  </si>
  <si>
    <t>METHODS_REVIEWER</t>
  </si>
  <si>
    <t>Statistics and methods reviewer</t>
  </si>
  <si>
    <t>GATE-WP014-01, GATE-WP018-01, GATE-WP020-01, GATE-WP021-02, GATE-WP022-01, GATE-WP024-01</t>
  </si>
  <si>
    <t>EXTERNAL_REPLICATION_OWNER</t>
  </si>
  <si>
    <t>Authorized Plan B replication owner or panel</t>
  </si>
  <si>
    <t>external_gate</t>
  </si>
  <si>
    <t>Unfilled external</t>
  </si>
  <si>
    <t>GATE-WP015-01, GATE-WP019-01, GATE-WP021-01</t>
  </si>
  <si>
    <t>Written role acceptance and authoritative evidence</t>
  </si>
  <si>
    <t>CLINICAL_OWNER</t>
  </si>
  <si>
    <t>Clinical use-case owner</t>
  </si>
  <si>
    <t>GATE-WP018-01</t>
  </si>
  <si>
    <t>DATA_CUSTODIAN</t>
  </si>
  <si>
    <t>Data custodian and authorization owner</t>
  </si>
  <si>
    <t>PRIVACY_ETHICS_OWNER</t>
  </si>
  <si>
    <t>Privacy, ethics, or legal authority</t>
  </si>
  <si>
    <t>GATE-WP011-02, GATE-WP018-01, GATE-WP022-02</t>
  </si>
  <si>
    <t>VDI_ADMIN</t>
  </si>
  <si>
    <t>Approved restricted-environment administrator</t>
  </si>
  <si>
    <t>GRADUATE_COORDINATOR</t>
  </si>
  <si>
    <t>Authorized university process contact</t>
  </si>
  <si>
    <t>GATE-WP010-01, GATE-WP026-02, GATE-WP029-02</t>
  </si>
  <si>
    <t>LOCAL_VALIDATOR</t>
  </si>
  <si>
    <t>Deterministic local artifact validator</t>
  </si>
  <si>
    <t>tool</t>
  </si>
  <si>
    <t>Local deterministic validation</t>
  </si>
  <si>
    <t>Tool available</t>
  </si>
  <si>
    <t>Deterministic local validator output</t>
  </si>
  <si>
    <t>Canonical Dependency-Ordered Schedule</t>
  </si>
  <si>
    <t>Due values are real Excel dates with an explicit Asia/Jerusalem timezone column. Overdue is calculated from NOW(); working targets remain provisional where noted in source controls.</t>
  </si>
  <si>
    <t>Checkpoint</t>
  </si>
  <si>
    <t>Acceptance Evidence</t>
  </si>
  <si>
    <t>AC-WP001-01 [pending] | AC-WP001-02 [pending]</t>
  </si>
  <si>
    <t>AC-WP002-01 [pending] | AC-WP002-02 [pending]</t>
  </si>
  <si>
    <t>AC-WP003-01 [pending] | AC-WP003-02 [pending]</t>
  </si>
  <si>
    <t>AC-WP004-01 [pending] | AC-WP004-02 [pending]</t>
  </si>
  <si>
    <t>AC-WP005-01 [pending] | AC-WP005-02 [pending]</t>
  </si>
  <si>
    <t>AC-WP006-01 [pending] | AC-WP006-02 [pending]</t>
  </si>
  <si>
    <t>AC-WP007-01 [pending] | AC-WP007-02 [pending]</t>
  </si>
  <si>
    <t>AC-WP008-01 [pending] | AC-WP008-02 [pending]</t>
  </si>
  <si>
    <t>AC-WP009-01 [pending]</t>
  </si>
  <si>
    <t>AC-WP010-01 [pending] | AC-WP010-02 [pending]</t>
  </si>
  <si>
    <t>AC-WP011-01 [pending] | AC-WP011-02 [pending]</t>
  </si>
  <si>
    <t>AC-WP012-01 [pending] | AC-WP012-02 [pending]</t>
  </si>
  <si>
    <t>AC-WP013-01 [pending] | AC-WP013-02 [pending] | AC-WP013-03 [pending]</t>
  </si>
  <si>
    <t>AC-WP014-01 [pending] | AC-WP014-02 [pending] | AC-WP014-03 [pending]</t>
  </si>
  <si>
    <t>AC-WP015-01 [pending] | AC-WP015-02 [pending]</t>
  </si>
  <si>
    <t>AC-WP016-01 [pending] | AC-WP016-02 [pending] | AC-WP016-03 [pending]</t>
  </si>
  <si>
    <t>AC-WP017-01 [pending] | AC-WP017-02 [pending]</t>
  </si>
  <si>
    <t>AC-WP018-01 [pending] | AC-WP018-02 [pending]</t>
  </si>
  <si>
    <t>AC-WP019-01 [pending] | AC-WP019-02 [pending]</t>
  </si>
  <si>
    <t>AC-WP020-01 [pending] | AC-WP020-02 [pending]</t>
  </si>
  <si>
    <t>AC-WP021-01 [pending] | AC-WP021-02 [pending]</t>
  </si>
  <si>
    <t>AC-WP022-01 [pending] | AC-WP022-02 [pending]</t>
  </si>
  <si>
    <t>AC-WP023-01 [pending]</t>
  </si>
  <si>
    <t>AC-WP024-01 [pending]</t>
  </si>
  <si>
    <t>AC-WP025-01 [pending]</t>
  </si>
  <si>
    <t>AC-WP026-01 [pending]</t>
  </si>
  <si>
    <t>AC-WP027-01 [pending]</t>
  </si>
  <si>
    <t>AC-WP028-01 [pending]</t>
  </si>
  <si>
    <t>AC-WP029-01 [pending] | AC-WP029-02 [pending]</t>
  </si>
  <si>
    <t>August 5 Supervisor Decision Capture</t>
  </si>
  <si>
    <t>Silence is Defer. Retire or supersede is explicitly representable; written propagation evidence remains required.</t>
  </si>
  <si>
    <t>Decision_ID</t>
  </si>
  <si>
    <t>Decision Requested</t>
  </si>
  <si>
    <t>Priority</t>
  </si>
  <si>
    <t>Outcome</t>
  </si>
  <si>
    <t>Exact Correction/Rationale</t>
  </si>
  <si>
    <t>Approver</t>
  </si>
  <si>
    <t>Written Deadline</t>
  </si>
  <si>
    <t>Affected Artifacts</t>
  </si>
  <si>
    <t>Propagation Status</t>
  </si>
  <si>
    <t>D-RQ-01</t>
  </si>
  <si>
    <t>Umbrella RQ wording</t>
  </si>
  <si>
    <t>Mandatory</t>
  </si>
  <si>
    <t>Iris and Arnon</t>
  </si>
  <si>
    <t>RQ pack; proposal; deck; master</t>
  </si>
  <si>
    <t>D-RQ-02</t>
  </si>
  <si>
    <t>SQ1-SQ3 wording</t>
  </si>
  <si>
    <t>D-RQ-03</t>
  </si>
  <si>
    <t>Three-study mapping and methods</t>
  </si>
  <si>
    <t>D-RQ-04</t>
  </si>
  <si>
    <t>Plan A conditional medical / Plan B non-medical</t>
  </si>
  <si>
    <t>D-RQ-05</t>
  </si>
  <si>
    <t>Every RQ answerable under Plan B</t>
  </si>
  <si>
    <t>D-RQ-06</t>
  </si>
  <si>
    <t>August 26 medical fallback trigger</t>
  </si>
  <si>
    <t>D-RQ-07</t>
  </si>
  <si>
    <t>Evidence boundary and five claim states</t>
  </si>
  <si>
    <t>D-RQ-08</t>
  </si>
  <si>
    <t>Literature scope and taxonomy</t>
  </si>
  <si>
    <t>Time permitting</t>
  </si>
  <si>
    <t>D-RQ-09</t>
  </si>
  <si>
    <t>MIMIC metadata-only boundary</t>
  </si>
  <si>
    <t>D-RQ-10</t>
  </si>
  <si>
    <t>Medical and university-process owners</t>
  </si>
  <si>
    <t>Assignment</t>
  </si>
  <si>
    <t>July 29 Zoom Human Review — Operational Batches</t>
  </si>
  <si>
    <t>Chronological PRI/REM ranges cover S-0001 through S-1195 exactly once. Calibration and full-media rows are separate evidence controls.</t>
  </si>
  <si>
    <t>Batch_ID</t>
  </si>
  <si>
    <t>Segment Range</t>
  </si>
  <si>
    <t>Segment Count</t>
  </si>
  <si>
    <t>Purpose</t>
  </si>
  <si>
    <t>Reviewer A</t>
  </si>
  <si>
    <t>Reviewer B</t>
  </si>
  <si>
    <t>Adjudicator</t>
  </si>
  <si>
    <t>Due</t>
  </si>
  <si>
    <t>Completion Evidence</t>
  </si>
  <si>
    <t>CAL-01</t>
  </si>
  <si>
    <t>30 balanced sample rows</t>
  </si>
  <si>
    <t>Codebook/format calibration only; no shared substantive answers</t>
  </si>
  <si>
    <t>Two blind sample returns + frozen codebook</t>
  </si>
  <si>
    <t>PRI-01</t>
  </si>
  <si>
    <t>S-0053-S-0126</t>
  </si>
  <si>
    <t>Candidacy outcomes and follow-up examination</t>
  </si>
  <si>
    <t>Both reviewer rows</t>
  </si>
  <si>
    <t>PRI-02</t>
  </si>
  <si>
    <t>S-0150-S-0185</t>
  </si>
  <si>
    <t>Milestones and reported availability</t>
  </si>
  <si>
    <t>PRI-03</t>
  </si>
  <si>
    <t>S-0891-S-0972</t>
  </si>
  <si>
    <t>Medical assertions and MIMIC organization</t>
  </si>
  <si>
    <t>PRI-04</t>
  </si>
  <si>
    <t>S-1058-S-1152</t>
  </si>
  <si>
    <t>Partner meeting, access terminology, and retrieval</t>
  </si>
  <si>
    <t>REM-01</t>
  </si>
  <si>
    <t>S-0001-S-0052</t>
  </si>
  <si>
    <t>Remaining chronological review</t>
  </si>
  <si>
    <t>REM-02</t>
  </si>
  <si>
    <t>S-0127-S-0149</t>
  </si>
  <si>
    <t>REM-03</t>
  </si>
  <si>
    <t>S-0186-S-0285</t>
  </si>
  <si>
    <t>REM-04</t>
  </si>
  <si>
    <t>S-0286-S-0385</t>
  </si>
  <si>
    <t>REM-05</t>
  </si>
  <si>
    <t>S-0386-S-0485</t>
  </si>
  <si>
    <t>REM-06</t>
  </si>
  <si>
    <t>S-0486-S-0585</t>
  </si>
  <si>
    <t>REM-07</t>
  </si>
  <si>
    <t>S-0586-S-0685</t>
  </si>
  <si>
    <t>REM-08</t>
  </si>
  <si>
    <t>S-0686-S-0785</t>
  </si>
  <si>
    <t>REM-09</t>
  </si>
  <si>
    <t>S-0786-S-0885</t>
  </si>
  <si>
    <t>REM-10</t>
  </si>
  <si>
    <t>S-0886-S-0890</t>
  </si>
  <si>
    <t>REM-11</t>
  </si>
  <si>
    <t>S-0973-S-1057</t>
  </si>
  <si>
    <t>REM-12</t>
  </si>
  <si>
    <t>S-1153-S-1195</t>
  </si>
  <si>
    <t>MEDIA-A</t>
  </si>
  <si>
    <t>Full 46:26.283 media</t>
  </si>
  <si>
    <t>Reviewer A full-media evidence including ASR edges</t>
  </si>
  <si>
    <t>MEDIA-TIMELINE row</t>
  </si>
  <si>
    <t>MEDIA-B</t>
  </si>
  <si>
    <t>Reviewer B full-media evidence including ASR edges</t>
  </si>
  <si>
    <t>ADJ-01</t>
  </si>
  <si>
    <t>All mechanical disagreements</t>
  </si>
  <si>
    <t>Third-person adjudication</t>
  </si>
  <si>
    <t>One adjudication per disagreement</t>
  </si>
  <si>
    <t>MERGE-01</t>
  </si>
  <si>
    <t>S-0001-S-1195</t>
  </si>
  <si>
    <t>Deterministic final merge and provenance</t>
  </si>
  <si>
    <t>CSV/JSON; readiness checks; hashes</t>
  </si>
  <si>
    <t>Literature Search Execution Register — Protocol Ready, Not Run</t>
  </si>
  <si>
    <t>Rows are generated from the tracked QL-01 through QL-05 execution register. Blank dates/counts are evidence-honest, not missing generated data.</t>
  </si>
  <si>
    <t>Query_ID</t>
  </si>
  <si>
    <t>Concept</t>
  </si>
  <si>
    <t>Frozen Boolean Query</t>
  </si>
  <si>
    <t>Database</t>
  </si>
  <si>
    <t>Field/Filter Handling</t>
  </si>
  <si>
    <t>Search Date</t>
  </si>
  <si>
    <t>Returned</t>
  </si>
  <si>
    <t>Included</t>
  </si>
  <si>
    <t>SQ/Study Mapping</t>
  </si>
  <si>
    <t>Evidence/Access Note</t>
  </si>
  <si>
    <t>QL-01</t>
  </si>
  <si>
    <t>Agentic or multi-agent AI with human oversight</t>
  </si>
  <si>
    <t>("agentic AI" OR "AI agent" OR "AI agents" OR "multi-agent system" OR "multi-agent systems" OR "multiagent system" OR "multiagent systems") AND ("human oversight" OR "human-in-the-loop" OR "human in the loop" OR "human-on-the-loop" OR "human on the loop" OR "human intervention" OR "expert review")</t>
  </si>
  <si>
    <t>ACM Digital Library</t>
  </si>
  <si>
    <t>Title/abstract/keywords where supported; 2015-2026</t>
  </si>
  <si>
    <t>Protocol ready / not run</t>
  </si>
  <si>
    <t>SQ1, Study 1, intervention architecture and authority.</t>
  </si>
  <si>
    <t>No count or coverage claim until executed</t>
  </si>
  <si>
    <t>IEEE Xplore</t>
  </si>
  <si>
    <t>Metadata/abstract/index terms where supported; 2015-2026</t>
  </si>
  <si>
    <t>Scopus</t>
  </si>
  <si>
    <t>TITLE-ABS-KEY; 2015-2026</t>
  </si>
  <si>
    <t>Web of Science</t>
  </si>
  <si>
    <t>Topic field; 2015-2026</t>
  </si>
  <si>
    <t>QL-02</t>
  </si>
  <si>
    <t>Expert feedback, knowledge capture, memory, and reusable judgment</t>
  </si>
  <si>
    <t>("expert feedback" OR "human feedback" OR "expert judgment" OR "expert judgements" OR "human judgment" OR "human judgements") AND ("knowledge capture" OR "knowledge reuse" OR "judgment reuse" OR "judgement reuse" OR memory OR provenance OR reconciliation) AND (AI OR "artificial intelligence" OR agent OR agents)</t>
  </si>
  <si>
    <t>SQ2, Study 2, governed judgment lifecycle.</t>
  </si>
  <si>
    <t>QL-03</t>
  </si>
  <si>
    <t>Domain modeling, assessment, variability, and conformance</t>
  </si>
  <si>
    <t>("domain model" OR "domain models" OR "conceptual model" OR "conceptual models" OR "process model" OR "process models" OR "variability model" OR "variability models" OR "software model" OR "software models") AND (assessment OR evaluation OR validation OR "conformance checking" OR "conformance check" OR comparison) AND (AI OR "artificial intelligence" OR agent OR agents OR automated)</t>
  </si>
  <si>
    <t>software/modeling baseline, Studies 1-3, Plan B transfer.</t>
  </si>
  <si>
    <t>QL-04</t>
  </si>
  <si>
    <t>Intervention workload, governance, trust, and evaluation</t>
  </si>
  <si>
    <t>("human intervention" OR "expert review" OR "human-AI collaboration" OR "human AI collaboration" OR "human-in-the-loop" OR "human in the loop") AND (workload OR burden OR dosage OR timing OR uncertainty OR trust OR governance) AND (evaluation OR experiment OR experiments OR "controlled study" OR "controlled studies" OR usability)</t>
  </si>
  <si>
    <t>SQ1 and SQ3, expert effort, usability, validity, and governance.</t>
  </si>
  <si>
    <t>QL-05</t>
  </si>
  <si>
    <t>Clinical guidelines, CDSS overrides, alert fatigue, and healthcare process mining</t>
  </si>
  <si>
    <t>(("clinical decision support"[Title/Abstract] OR CDSS[Title/Abstract] OR "clinical guideline"[Title/Abstract] OR "clinical guidelines"[Title/Abstract] OR "healthcare process mining"[Title/Abstract]) AND (override*[Title/Abstract] OR "alert fatigue"[Title/Abstract] OR "human oversight"[Title/Abstract] OR "expert feedback"[Title/Abstract] OR conformance[Title/Abstract])) AND ("2015/01/01"[Date - Publication] : "2026/12/31"[Date - Publication])</t>
  </si>
  <si>
    <t>PubMed</t>
  </si>
  <si>
    <t>Title/Abstract terms plus explicit publication-date range in the query</t>
  </si>
  <si>
    <t>conditional Plan A literature only; this query does not select</t>
  </si>
  <si>
    <t>Plan A Medical Readiness — NO-GO at 0/6</t>
  </si>
  <si>
    <t>No row-level medical work begins unless every gate reaches PASS with authorized evidence. At 0–5/6 on August 26, Plan B activates.</t>
  </si>
  <si>
    <t>Gate</t>
  </si>
  <si>
    <t>Required Control</t>
  </si>
  <si>
    <t>Accountable Roles</t>
  </si>
  <si>
    <t>Named Owner</t>
  </si>
  <si>
    <t>Evidence Path</t>
  </si>
  <si>
    <t>Feasible Date</t>
  </si>
  <si>
    <t>Actual Result</t>
  </si>
  <si>
    <t>Checkpoint Disposition</t>
  </si>
  <si>
    <t>Current Blocker</t>
  </si>
  <si>
    <t>G1 Use case</t>
  </si>
  <si>
    <t>Workflow, owner, unit, I/O, baseline, non-goals, and measures</t>
  </si>
  <si>
    <t>CLINICAL_OWNER; IRIS; ALI</t>
  </si>
  <si>
    <t>FAIL</t>
  </si>
  <si>
    <t>Plan B if control absent Aug26</t>
  </si>
  <si>
    <t>No approved clinical use case</t>
  </si>
  <si>
    <t>G2 People</t>
  </si>
  <si>
    <t>Clinician, custodian, ethics, VDI, methods, and escalation roles</t>
  </si>
  <si>
    <t>CLINICAL_OWNER; DATA_CUSTODIAN; PRIVACY_ETHICS_OWNER; VDI_ADMIN; METHODS_REVIEWER</t>
  </si>
  <si>
    <t>Required roles unfilled</t>
  </si>
  <si>
    <t>G3 Authorization</t>
  </si>
  <si>
    <t>Named-user, project-specific permission and expiry</t>
  </si>
  <si>
    <t>Shared access is not authorization</t>
  </si>
  <si>
    <t>G4 Ethics/privacy</t>
  </si>
  <si>
    <t>Written dataset/protocol determination and incident rules</t>
  </si>
  <si>
    <t>PRIVACY_ETHICS_OWNER; DATA_CUSTODIAN</t>
  </si>
  <si>
    <t>No project-specific determination</t>
  </si>
  <si>
    <t>G5 Environment</t>
  </si>
  <si>
    <t>Approved VDI, storage, logging, egress, and local-model decision</t>
  </si>
  <si>
    <t>VDI_ADMIN; DATA_CUSTODIAN</t>
  </si>
  <si>
    <t>No approved environment/model</t>
  </si>
  <si>
    <t>G6 Protocol</t>
  </si>
  <si>
    <t>Cohort, mappings, outcomes, missingness, leakage, statistics, and stop rules</t>
  </si>
  <si>
    <t>IRIS; ARNON; CLINICAL_OWNER; METHODS_REVIEWER</t>
  </si>
  <si>
    <t>No approved medical protocol</t>
  </si>
  <si>
    <t>Current Acceptance and Release Gates</t>
  </si>
  <si>
    <t>Structure PASS never substitutes for readiness or closure. Human, external, medical, empirical, and submission gates remain fail-closed.</t>
  </si>
  <si>
    <t>Test_ID</t>
  </si>
  <si>
    <t>Required Result</t>
  </si>
  <si>
    <t>Current Result</t>
  </si>
  <si>
    <t>Mode</t>
  </si>
  <si>
    <t>Release Effect</t>
  </si>
  <si>
    <t>AT-01</t>
  </si>
  <si>
    <t>44-control structural coverage</t>
  </si>
  <si>
    <t>PASS</t>
  </si>
  <si>
    <t>structure</t>
  </si>
  <si>
    <t>44/44 exact IDs</t>
  </si>
  <si>
    <t>Local control structure valid</t>
  </si>
  <si>
    <t>AT-02</t>
  </si>
  <si>
    <t>Canonical work-package coverage</t>
  </si>
  <si>
    <t>29/29</t>
  </si>
  <si>
    <t>WP-001 through WP-029</t>
  </si>
  <si>
    <t>Canonical board visible</t>
  </si>
  <si>
    <t>AT-03</t>
  </si>
  <si>
    <t>Assurance/canonical/scientific experiment coverage</t>
  </si>
  <si>
    <t>10/10; 10/10; 6/6</t>
  </si>
  <si>
    <t>Experiment_Crosswalk</t>
  </si>
  <si>
    <t>Experiment denominator visible</t>
  </si>
  <si>
    <t>AT-04</t>
  </si>
  <si>
    <t>D-RQ decision coverage</t>
  </si>
  <si>
    <t>10/10</t>
  </si>
  <si>
    <t>D-RQ-01 through D-RQ-10</t>
  </si>
  <si>
    <t>Decision worksheet complete</t>
  </si>
  <si>
    <t>AT-05</t>
  </si>
  <si>
    <t>Deck/PDF/notes/render QA</t>
  </si>
  <si>
    <t>21 slides; 21 source blocks</t>
  </si>
  <si>
    <t>Local package built</t>
  </si>
  <si>
    <t>AT-06</t>
  </si>
  <si>
    <t>Ali exact-package approval</t>
  </si>
  <si>
    <t>PENDING</t>
  </si>
  <si>
    <t>delivery</t>
  </si>
  <si>
    <t>No signed release row</t>
  </si>
  <si>
    <t>Blocks sharing</t>
  </si>
  <si>
    <t>AT-07</t>
  </si>
  <si>
    <t>Timed and adversarial human rehearsal</t>
  </si>
  <si>
    <t>NOT RUN</t>
  </si>
  <si>
    <t>Rehearsal templates only</t>
  </si>
  <si>
    <t>AT-08</t>
  </si>
  <si>
    <t>Iris and Arnon recipient access</t>
  </si>
  <si>
    <t>Blocks delivered status</t>
  </si>
  <si>
    <t>AT-09</t>
  </si>
  <si>
    <t>Dual review + full-media + adjudication</t>
  </si>
  <si>
    <t>readiness</t>
  </si>
  <si>
    <t>0/1,195 per reviewer; 0/1 media</t>
  </si>
  <si>
    <t>Blocks transcript closure</t>
  </si>
  <si>
    <t>AT-10</t>
  </si>
  <si>
    <t>Literature searches/screening</t>
  </si>
  <si>
    <t>proposal</t>
  </si>
  <si>
    <t>Protocol ready</t>
  </si>
  <si>
    <t>Novelty remains preliminary</t>
  </si>
  <si>
    <t>AT-11</t>
  </si>
  <si>
    <t>EXP-005 human evidence</t>
  </si>
  <si>
    <t>20-24 eligible labels</t>
  </si>
  <si>
    <t>scientific</t>
  </si>
  <si>
    <t>0/24; 0/2 reviewers</t>
  </si>
  <si>
    <t>Blocks quantitative claim</t>
  </si>
  <si>
    <t>AT-12</t>
  </si>
  <si>
    <t>6/6 before rows</t>
  </si>
  <si>
    <t>medical</t>
  </si>
  <si>
    <t>Blocks all row-level medical work</t>
  </si>
  <si>
    <t>AT-13</t>
  </si>
  <si>
    <t>Official candidacy process</t>
  </si>
  <si>
    <t>Authoritative response</t>
  </si>
  <si>
    <t>submission</t>
  </si>
  <si>
    <t>Checklist only</t>
  </si>
  <si>
    <t>Blocks candidacy deck/submission</t>
  </si>
  <si>
    <t>AT-14</t>
  </si>
  <si>
    <t>Authorized submission receipt</t>
  </si>
  <si>
    <t>closure</t>
  </si>
  <si>
    <t>NOT_SUBMITTED template</t>
  </si>
  <si>
    <t>Blocks closure certificate</t>
  </si>
  <si>
    <t>Controlled Lists — Stop-Validated Values</t>
  </si>
  <si>
    <t>Drop-down error alerts use STOP behavior; canonical source values remain unchanged.</t>
  </si>
  <si>
    <t>Work Package Status</t>
  </si>
  <si>
    <t>Decision Outcome</t>
  </si>
  <si>
    <t>Gate Result</t>
  </si>
  <si>
    <t>Review Status</t>
  </si>
  <si>
    <t>Control Final State</t>
  </si>
  <si>
    <t>in_progress</t>
  </si>
  <si>
    <t>Confirm</t>
  </si>
  <si>
    <t>Calibration</t>
  </si>
  <si>
    <t>Accepted</t>
  </si>
  <si>
    <t>Confirm with correction</t>
  </si>
  <si>
    <t>In progress</t>
  </si>
  <si>
    <t>Accepted with ongoing control</t>
  </si>
  <si>
    <t>Retire or supersede</t>
  </si>
  <si>
    <t>Reviewer complete</t>
  </si>
  <si>
    <t>Accepted after correction</t>
  </si>
  <si>
    <t>acceptance_check_passed</t>
  </si>
  <si>
    <t>Defer</t>
  </si>
  <si>
    <t>NOT APPLICABLE</t>
  </si>
  <si>
    <t>Adjudication required</t>
  </si>
  <si>
    <t>Superseded by approved decision</t>
  </si>
  <si>
    <t>Adjudicated</t>
  </si>
  <si>
    <t>Not applicable by approved Plan B or other decision</t>
  </si>
  <si>
    <t>accepted</t>
  </si>
  <si>
    <t>accepted_ongoing</t>
  </si>
  <si>
    <t>accepted_after_correction</t>
  </si>
  <si>
    <t>superseded_approved</t>
  </si>
  <si>
    <t>not_applicable_approved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</si>
</sst>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10">
    <font>
      <sz val="11"/>
      <name val="Carlito"/>
    </font>
    <font>
      <b/>
      <sz val="16"/>
      <color rgb="FFFFFFFF"/>
      <name val="Carlito"/>
    </font>
    <font>
      <i/>
      <sz val="10"/>
      <color rgb="FF7F6000"/>
      <name val="Carlito"/>
    </font>
    <font>
      <b/>
      <sz val="10"/>
      <color rgb="FFFFFFFF"/>
      <name val="Carlito"/>
    </font>
    <font>
      <sz val="9"/>
      <color rgb="FF333333"/>
      <name val="Carlito"/>
    </font>
    <font>
      <b/>
      <sz val="17"/>
      <color rgb="FFFFFFFF"/>
      <name val="Carlito"/>
    </font>
    <font>
      <b/>
      <sz val="10"/>
      <color rgb="FF7F6000"/>
      <name val="Carlito"/>
    </font>
    <font>
      <b/>
      <sz val="11"/>
      <color rgb="FFFFFFFF"/>
      <name val="Carlito"/>
    </font>
    <font>
      <sz val="10"/>
      <name val="Carlito"/>
    </font>
    <font>
      <b/>
      <sz val="11"/>
      <color rgb="FFC00000"/>
      <name val="Carlito"/>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2F75B5"/>
      </patternFill>
    </fill>
    <fill>
      <patternFill patternType="solid">
        <fgColor rgb="FFFCE4D6"/>
      </patternFill>
    </fill>
  </fills>
  <borders count="10">
    <border>
      <left/>
      <right/>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30">
    <xf numFmtId="0" fontId="0" fillId="0" borderId="0" xfId="0"/>
    <xf numFmtId="0" fontId="3" fillId="4" borderId="0" xfId="0" applyFont="1" applyFill="1" applyAlignment="1">
      <alignment horizontal="center" vertical="center" wrapText="1"/>
    </xf>
    <xf numFmtId="0" fontId="4" fillId="0" borderId="0" xfId="0" applyFont="1" applyAlignment="1">
      <alignment vertical="top" wrapText="1"/>
    </xf>
    <xf numFmtId="164" fontId="4" fillId="0" borderId="0" xfId="0" applyNumberFormat="1" applyFont="1" applyAlignment="1">
      <alignment vertical="top" wrapText="1"/>
    </xf>
    <xf numFmtId="165" fontId="4" fillId="0" borderId="0" xfId="0" applyNumberFormat="1" applyFont="1" applyAlignment="1">
      <alignment vertical="top" wrapText="1"/>
    </xf>
    <xf numFmtId="0" fontId="0" fillId="0" borderId="4" xfId="0" applyBorder="1"/>
    <xf numFmtId="0" fontId="0" fillId="0" borderId="5" xfId="0" applyBorder="1"/>
    <xf numFmtId="0" fontId="0" fillId="0" borderId="6" xfId="0" applyBorder="1"/>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8" fillId="0" borderId="4" xfId="0" applyFont="1" applyBorder="1" applyAlignment="1">
      <alignment vertical="top" wrapText="1"/>
    </xf>
    <xf numFmtId="0" fontId="8" fillId="0" borderId="5" xfId="0" applyFont="1" applyBorder="1" applyAlignment="1">
      <alignment vertical="top" wrapText="1"/>
    </xf>
    <xf numFmtId="0" fontId="8" fillId="0" borderId="6" xfId="0" applyFont="1" applyBorder="1" applyAlignment="1">
      <alignment vertical="top" wrapText="1"/>
    </xf>
    <xf numFmtId="0" fontId="0" fillId="0" borderId="7" xfId="0" applyBorder="1"/>
    <xf numFmtId="164" fontId="0" fillId="0" borderId="8" xfId="0" applyNumberFormat="1" applyBorder="1"/>
    <xf numFmtId="0" fontId="0" fillId="0" borderId="8" xfId="0" applyBorder="1"/>
    <xf numFmtId="0" fontId="0" fillId="0" borderId="9" xfId="0" applyBorder="1"/>
    <xf numFmtId="0" fontId="5" fillId="2" borderId="1" xfId="0" applyFont="1" applyFill="1" applyBorder="1" applyAlignment="1">
      <alignmen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6" fillId="3" borderId="6" xfId="0" applyFont="1" applyFill="1" applyBorder="1" applyAlignment="1">
      <alignment vertical="center" wrapText="1"/>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9" fillId="5" borderId="4" xfId="0" applyFont="1" applyFill="1" applyBorder="1" applyAlignment="1">
      <alignment wrapText="1"/>
    </xf>
    <xf numFmtId="0" fontId="9" fillId="5" borderId="5" xfId="0" applyFont="1" applyFill="1" applyBorder="1" applyAlignment="1">
      <alignment wrapText="1"/>
    </xf>
    <xf numFmtId="0" fontId="9" fillId="5" borderId="6" xfId="0" applyFont="1" applyFill="1" applyBorder="1" applyAlignment="1">
      <alignment wrapText="1"/>
    </xf>
    <xf numFmtId="0" fontId="1" fillId="2" borderId="0" xfId="0" applyFont="1" applyFill="1" applyAlignment="1">
      <alignment vertical="center"/>
    </xf>
    <xf numFmtId="0" fontId="2" fillId="3" borderId="0" xfId="0" applyFont="1" applyFill="1" applyAlignment="1">
      <alignment vertical="center" wrapText="1"/>
    </xf>
  </cellXfs>
  <cellStyles count="1">
    <cellStyle name="Normal" xfId="0" builtinId="0"/>
  </cellStyles>
  <dxfs count="89">
    <dxf>
      <font>
        <b/>
        <color rgb="FF595959"/>
      </font>
      <fill>
        <patternFill patternType="solid">
          <bgColor rgb="FFE7E6E6"/>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CE4D6"/>
        </patternFill>
      </fill>
    </dxf>
    <dxf>
      <font>
        <b/>
        <color rgb="FF2E7D32"/>
      </font>
      <fill>
        <patternFill patternType="solid">
          <bgColor rgb="FFE2F0D9"/>
        </patternFill>
      </fill>
    </dxf>
    <dxf>
      <font>
        <b/>
        <color rgb="FF595959"/>
      </font>
      <fill>
        <patternFill patternType="solid">
          <bgColor rgb="FFE7E6E6"/>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CE4D6"/>
        </patternFill>
      </fill>
    </dxf>
    <dxf>
      <font>
        <b/>
        <color rgb="FF2E7D32"/>
      </font>
      <fill>
        <patternFill patternType="solid">
          <bgColor rgb="FFE2F0D9"/>
        </patternFill>
      </fill>
    </dxf>
    <dxf>
      <font>
        <b/>
        <color rgb="FF595959"/>
      </font>
      <fill>
        <patternFill patternType="solid">
          <bgColor rgb="FFE7E6E6"/>
        </patternFill>
      </fill>
    </dxf>
    <dxf>
      <font>
        <b/>
        <color rgb="FFC00000"/>
      </font>
      <fill>
        <patternFill patternType="solid">
          <bgColor rgb="FFFCE4D6"/>
        </patternFill>
      </fill>
    </dxf>
    <dxf>
      <font>
        <b/>
        <color rgb="FF2E7D32"/>
      </font>
      <fill>
        <patternFill patternType="solid">
          <bgColor rgb="FFE2F0D9"/>
        </patternFill>
      </fill>
    </dxf>
    <dxf>
      <font>
        <b/>
        <color rgb="FF1F4E78"/>
      </font>
      <fill>
        <patternFill patternType="solid">
          <bgColor rgb="FFD9EAF7"/>
        </patternFill>
      </fill>
    </dxf>
    <dxf>
      <font>
        <b/>
        <color rgb="FF9C6500"/>
      </font>
      <fill>
        <patternFill patternType="solid">
          <bgColor rgb="FFFFF2CC"/>
        </patternFill>
      </fill>
    </dxf>
    <dxf>
      <font>
        <b/>
        <color rgb="FF2E7D32"/>
      </font>
      <fill>
        <patternFill patternType="solid">
          <bgColor rgb="FFD9EAD3"/>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9C6500"/>
      </font>
      <fill>
        <patternFill patternType="solid">
          <bgColor rgb="FFFFF2CC"/>
        </patternFill>
      </fill>
    </dxf>
    <dxf>
      <font>
        <b/>
        <color rgb="FF2E7D32"/>
      </font>
      <fill>
        <patternFill patternType="solid">
          <bgColor rgb="FFE2F0D9"/>
        </patternFill>
      </fill>
    </dxf>
    <dxf>
      <font>
        <b/>
        <color rgb="FF1F4E78"/>
      </font>
      <fill>
        <patternFill patternType="solid">
          <bgColor rgb="FFD9EAF7"/>
        </patternFill>
      </fill>
    </dxf>
    <dxf>
      <font>
        <b/>
        <color rgb="FF1F4E78"/>
      </font>
      <fill>
        <patternFill patternType="solid">
          <bgColor rgb="FFD9EAF7"/>
        </patternFill>
      </fill>
    </dxf>
    <dxf>
      <font>
        <b/>
        <color rgb="FF595959"/>
      </font>
      <fill>
        <patternFill patternType="solid">
          <bgColor rgb="FFE7E6E6"/>
        </patternFill>
      </fill>
    </dxf>
    <dxf>
      <font>
        <b/>
        <color rgb="FF9C6500"/>
      </font>
      <fill>
        <patternFill patternType="solid">
          <bgColor rgb="FFFFF2CC"/>
        </patternFill>
      </fill>
    </dxf>
    <dxf>
      <font>
        <b/>
        <color rgb="FF595959"/>
      </font>
      <fill>
        <patternFill patternType="solid">
          <bgColor rgb="FFE7E6E6"/>
        </patternFill>
      </fill>
    </dxf>
    <dxf>
      <font>
        <b/>
        <color rgb="FF1F4E78"/>
      </font>
      <fill>
        <patternFill patternType="solid">
          <bgColor rgb="FFD9EAF7"/>
        </patternFill>
      </fill>
    </dxf>
    <dxf>
      <font>
        <b/>
        <color rgb="FF2E7D32"/>
      </font>
      <fill>
        <patternFill patternType="solid">
          <bgColor rgb="FFE2F0D9"/>
        </patternFill>
      </fill>
    </dxf>
    <dxf>
      <font>
        <b/>
        <color rgb="FF9C6500"/>
      </font>
      <fill>
        <patternFill patternType="solid">
          <bgColor rgb="FFFFF2CC"/>
        </patternFill>
      </fill>
    </dxf>
    <dxf>
      <font>
        <b/>
        <color rgb="FF2E7D32"/>
      </font>
      <fill>
        <patternFill patternType="solid">
          <bgColor rgb="FFD9EAD3"/>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2E7D32"/>
      </font>
      <fill>
        <patternFill patternType="solid">
          <bgColor rgb="FFE2F0D9"/>
        </patternFill>
      </fill>
    </dxf>
    <dxf>
      <font>
        <b/>
        <color rgb="FF9C6500"/>
      </font>
      <fill>
        <patternFill patternType="solid">
          <bgColor rgb="FFFFF2CC"/>
        </patternFill>
      </fill>
    </dxf>
    <dxf>
      <font>
        <b/>
        <color rgb="FF1F4E78"/>
      </font>
      <fill>
        <patternFill patternType="solid">
          <bgColor rgb="FFD9EAF7"/>
        </patternFill>
      </fill>
    </dxf>
    <dxf>
      <font>
        <b/>
        <color rgb="FF595959"/>
      </font>
      <fill>
        <patternFill patternType="solid">
          <bgColor rgb="FFE7E6E6"/>
        </patternFill>
      </fill>
    </dxf>
    <dxf>
      <font>
        <b/>
        <color rgb="FFC00000"/>
      </font>
      <fill>
        <patternFill patternType="solid">
          <bgColor rgb="FFFCE4D6"/>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9C6500"/>
      </font>
      <fill>
        <patternFill patternType="solid">
          <bgColor rgb="FFFFF2CC"/>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D9EAD3"/>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2E7D32"/>
      </font>
      <fill>
        <patternFill patternType="solid">
          <bgColor rgb="FFE2F0D9"/>
        </patternFill>
      </fill>
    </dxf>
    <dxf>
      <font>
        <b/>
        <color rgb="FF9C6500"/>
      </font>
      <fill>
        <patternFill patternType="solid">
          <bgColor rgb="FFFFF2CC"/>
        </patternFill>
      </fill>
    </dxf>
    <dxf>
      <font>
        <b/>
        <color rgb="FF1F4E78"/>
      </font>
      <fill>
        <patternFill patternType="solid">
          <bgColor rgb="FFD9EAF7"/>
        </patternFill>
      </fill>
    </dxf>
    <dxf>
      <font>
        <b/>
        <color rgb="FF595959"/>
      </font>
      <fill>
        <patternFill patternType="solid">
          <bgColor rgb="FFE7E6E6"/>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2E7D32"/>
      </font>
      <fill>
        <patternFill patternType="solid">
          <bgColor rgb="FFE2F0D9"/>
        </patternFill>
      </fill>
    </dxf>
    <dxf>
      <font>
        <b/>
        <color rgb="FF9C6500"/>
      </font>
      <fill>
        <patternFill patternType="solid">
          <bgColor rgb="FFFFF2CC"/>
        </patternFill>
      </fill>
    </dxf>
    <dxf>
      <font>
        <b/>
        <color rgb="FF1F4E78"/>
      </font>
      <fill>
        <patternFill patternType="solid">
          <bgColor rgb="FFD9EAF7"/>
        </patternFill>
      </fill>
    </dxf>
    <dxf>
      <font>
        <b/>
        <color rgb="FF595959"/>
      </font>
      <fill>
        <patternFill patternType="solid">
          <bgColor rgb="FFE7E6E6"/>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2E7D32"/>
      </font>
      <fill>
        <patternFill patternType="solid">
          <bgColor rgb="FFE2F0D9"/>
        </patternFill>
      </fill>
    </dxf>
    <dxf>
      <font>
        <b/>
        <color rgb="FFC00000"/>
      </font>
      <fill>
        <patternFill patternType="solid">
          <bgColor rgb="FFFCE4D6"/>
        </patternFill>
      </fill>
    </dxf>
    <dxf>
      <font>
        <b/>
        <color rgb="FF2E7D32"/>
      </font>
      <fill>
        <patternFill patternType="solid">
          <bgColor rgb="FFE2F0D9"/>
        </patternFill>
      </fill>
    </dxf>
    <dxf>
      <font>
        <b/>
        <color rgb="FF2E7D32"/>
      </font>
      <fill>
        <patternFill patternType="solid">
          <bgColor rgb="FFE2F0D9"/>
        </patternFill>
      </fill>
    </dxf>
    <dxf>
      <font>
        <b/>
        <color rgb="FF9C6500"/>
      </font>
      <fill>
        <patternFill patternType="solid">
          <bgColor rgb="FFFFF2CC"/>
        </patternFill>
      </fill>
    </dxf>
    <dxf>
      <font>
        <b/>
        <color rgb="FF1F4E78"/>
      </font>
      <fill>
        <patternFill patternType="solid">
          <bgColor rgb="FFD9EAF7"/>
        </patternFill>
      </fill>
    </dxf>
    <dxf>
      <font>
        <b/>
        <color rgb="FF595959"/>
      </font>
      <fill>
        <patternFill patternType="solid">
          <b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Canonical Work-Package Distribution</a:t>
            </a:r>
          </a:p>
        </c:rich>
      </c:tx>
      <c:overlay val="1"/>
    </c:title>
    <c:autoTitleDeleted val="0"/>
    <c:plotArea>
      <c:layout/>
      <c:barChart>
        <c:barDir val="col"/>
        <c:grouping val="clustered"/>
        <c:varyColors val="0"/>
        <c:ser>
          <c:idx val="0"/>
          <c:order val="0"/>
          <c:tx>
            <c:v>Count</c:v>
          </c:tx>
          <c:invertIfNegative val="1"/>
          <c:cat>
            <c:strRef>
              <c:f>Executive!$D$6:$D$10</c:f>
              <c:strCache>
                <c:ptCount val="5"/>
                <c:pt idx="0">
                  <c:v>blocked</c:v>
                </c:pt>
                <c:pt idx="1">
                  <c:v>partial</c:v>
                </c:pt>
                <c:pt idx="2">
                  <c:v>planned</c:v>
                </c:pt>
                <c:pt idx="3">
                  <c:v>evidence_ready</c:v>
                </c:pt>
                <c:pt idx="4">
                  <c:v>accepted/final</c:v>
                </c:pt>
              </c:strCache>
            </c:strRef>
          </c:cat>
          <c:val>
            <c:numRef>
              <c:f>Executive!$E$6:$E$10</c:f>
              <c:numCache>
                <c:formatCode>General</c:formatCode>
                <c:ptCount val="5"/>
                <c:pt idx="0">
                  <c:v>18</c:v>
                </c:pt>
                <c:pt idx="1">
                  <c:v>6</c:v>
                </c:pt>
                <c:pt idx="2">
                  <c:v>5</c:v>
                </c:pt>
                <c:pt idx="3">
                  <c:v>0</c:v>
                </c:pt>
                <c:pt idx="4">
                  <c:v>0</c:v>
                </c:pt>
              </c:numCache>
            </c:numRef>
          </c:val>
          <c:extLst>
            <c:ext xmlns:c16="http://schemas.microsoft.com/office/drawing/2014/chart" uri="{C3380CC4-5D6E-409C-BE32-E72D297353CC}">
              <c16:uniqueId val="{00000000-37E3-4B36-9311-58C06123C55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11</xdr:col>
      <xdr:colOff>0</xdr:colOff>
      <xdr:row>36</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anonicalWorkPackagesTable" displayName="CanonicalWorkPackagesTable" ref="A3:P32" totalsRowShown="0">
  <tableColumns count="16">
    <tableColumn id="1" xr3:uid="{00000000-0010-0000-0000-000001000000}" name="WP_ID"/>
    <tableColumn id="2" xr3:uid="{00000000-0010-0000-0000-000002000000}" name="Work Package"/>
    <tableColumn id="3" xr3:uid="{00000000-0010-0000-0000-000003000000}" name="Phase"/>
    <tableColumn id="4" xr3:uid="{00000000-0010-0000-0000-000004000000}" name="Owner Roles"/>
    <tableColumn id="5" xr3:uid="{00000000-0010-0000-0000-000005000000}" name="Due (local)"/>
    <tableColumn id="6" xr3:uid="{00000000-0010-0000-0000-000006000000}" name="Timezone"/>
    <tableColumn id="7" xr3:uid="{00000000-0010-0000-0000-000007000000}" name="Dependencies"/>
    <tableColumn id="8" xr3:uid="{00000000-0010-0000-0000-000008000000}" name="Status"/>
    <tableColumn id="9" xr3:uid="{00000000-0010-0000-0000-000009000000}" name="Overdue"/>
    <tableColumn id="10" xr3:uid="{00000000-0010-0000-0000-00000A000000}" name="Controls"/>
    <tableColumn id="11" xr3:uid="{00000000-0010-0000-0000-00000B000000}" name="IRIS Experiments"/>
    <tableColumn id="12" xr3:uid="{00000000-0010-0000-0000-00000C000000}" name="Canonical Experiments"/>
    <tableColumn id="13" xr3:uid="{00000000-0010-0000-0000-00000D000000}" name="Deliverables"/>
    <tableColumn id="14" xr3:uid="{00000000-0010-0000-0000-00000E000000}" name="Acceptance Checks"/>
    <tableColumn id="15" xr3:uid="{00000000-0010-0000-0000-00000F000000}" name="Evidence"/>
    <tableColumn id="16" xr3:uid="{00000000-0010-0000-0000-000010000000}" name="Ga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ontrolAcceptanceTable" displayName="ControlAcceptanceTable" ref="A3:R47" totalsRowShown="0">
  <tableColumns count="18">
    <tableColumn id="1" xr3:uid="{00000000-0010-0000-0100-000001000000}" name="Control_ID"/>
    <tableColumn id="2" xr3:uid="{00000000-0010-0000-0100-000002000000}" name="Kind"/>
    <tableColumn id="3" xr3:uid="{00000000-0010-0000-0100-000003000000}" name="Type"/>
    <tableColumn id="4" xr3:uid="{00000000-0010-0000-0100-000004000000}" name="Control Item"/>
    <tableColumn id="5" xr3:uid="{00000000-0010-0000-0100-000005000000}" name="Source"/>
    <tableColumn id="6" xr3:uid="{00000000-0010-0000-0100-000006000000}" name="Owner"/>
    <tableColumn id="7" xr3:uid="{00000000-0010-0000-0100-000007000000}" name="Due/Gate"/>
    <tableColumn id="8" xr3:uid="{00000000-0010-0000-0100-000008000000}" name="Dependencies"/>
    <tableColumn id="9" xr3:uid="{00000000-0010-0000-0100-000009000000}" name="Deliverable/Evidence"/>
    <tableColumn id="10" xr3:uid="{00000000-0010-0000-0100-00000A000000}" name="Acceptance Check"/>
    <tableColumn id="11" xr3:uid="{00000000-0010-0000-0100-00000B000000}" name="Extraction"/>
    <tableColumn id="12" xr3:uid="{00000000-0010-0000-0100-00000C000000}" name="Implementation"/>
    <tableColumn id="13" xr3:uid="{00000000-0010-0000-0100-00000D000000}" name="Acceptance"/>
    <tableColumn id="14" xr3:uid="{00000000-0010-0000-0100-00000E000000}" name="Final State"/>
    <tableColumn id="15" xr3:uid="{00000000-0010-0000-0100-00000F000000}" name="Ongoing Control"/>
    <tableColumn id="16" xr3:uid="{00000000-0010-0000-0100-000010000000}" name="Closure Eligible"/>
    <tableColumn id="17" xr3:uid="{00000000-0010-0000-0100-000011000000}" name="Canonical WPs"/>
    <tableColumn id="18" xr3:uid="{00000000-0010-0000-0100-000012000000}" name="Gate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xperimentCrosswalkTable" displayName="ExperimentCrosswalkTable" ref="A3:H29" totalsRowShown="0">
  <tableColumns count="8">
    <tableColumn id="1" xr3:uid="{00000000-0010-0000-0200-000001000000}" name="Layer"/>
    <tableColumn id="2" xr3:uid="{00000000-0010-0000-0200-000002000000}" name="Experiment_ID"/>
    <tableColumn id="3" xr3:uid="{00000000-0010-0000-0200-000003000000}" name="Name"/>
    <tableColumn id="4" xr3:uid="{00000000-0010-0000-0200-000004000000}" name="Current Evidence State"/>
    <tableColumn id="5" xr3:uid="{00000000-0010-0000-0200-000005000000}" name="Mapped WPs"/>
    <tableColumn id="6" xr3:uid="{00000000-0010-0000-0200-000006000000}" name="Canonical/Related Mapping"/>
    <tableColumn id="7" xr3:uid="{00000000-0010-0000-0200-000007000000}" name="Locator"/>
    <tableColumn id="8" xr3:uid="{00000000-0010-0000-0200-000008000000}" name="Claim Bounda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CanonicalRolesTable" displayName="CanonicalRolesTable" ref="A3:I22" totalsRowShown="0">
  <tableColumns count="9">
    <tableColumn id="1" xr3:uid="{00000000-0010-0000-0300-000001000000}" name="Role_ID"/>
    <tableColumn id="2" xr3:uid="{00000000-0010-0000-0300-000002000000}" name="Role"/>
    <tableColumn id="3" xr3:uid="{00000000-0010-0000-0300-000003000000}" name="Kind"/>
    <tableColumn id="4" xr3:uid="{00000000-0010-0000-0300-000004000000}" name="Current Assignee"/>
    <tableColumn id="5" xr3:uid="{00000000-0010-0000-0300-000005000000}" name="Filled"/>
    <tableColumn id="6" xr3:uid="{00000000-0010-0000-0300-000006000000}" name="Status"/>
    <tableColumn id="7" xr3:uid="{00000000-0010-0000-0300-000007000000}" name="Gate Bindings"/>
    <tableColumn id="8" xr3:uid="{00000000-0010-0000-0300-000008000000}" name="Evidence Required"/>
    <tableColumn id="9" xr3:uid="{00000000-0010-0000-0300-000009000000}" name="Fail-Closed Consequen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CanonicalScheduleTable" displayName="CanonicalScheduleTable" ref="A3:H32" totalsRowShown="0">
  <tableColumns count="8">
    <tableColumn id="1" xr3:uid="{00000000-0010-0000-0400-000001000000}" name="Due (local)"/>
    <tableColumn id="2" xr3:uid="{00000000-0010-0000-0400-000002000000}" name="Timezone"/>
    <tableColumn id="3" xr3:uid="{00000000-0010-0000-0400-000003000000}" name="WP_ID"/>
    <tableColumn id="4" xr3:uid="{00000000-0010-0000-0400-000004000000}" name="Checkpoint"/>
    <tableColumn id="5" xr3:uid="{00000000-0010-0000-0400-000005000000}" name="Owner Roles"/>
    <tableColumn id="6" xr3:uid="{00000000-0010-0000-0400-000006000000}" name="Status"/>
    <tableColumn id="7" xr3:uid="{00000000-0010-0000-0400-000007000000}" name="Overdue"/>
    <tableColumn id="8" xr3:uid="{00000000-0010-0000-0400-000008000000}" name="Acceptance Eviden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DecisionLogTable" displayName="DecisionLogTable" ref="A3:J13" totalsRowShown="0">
  <tableColumns count="10">
    <tableColumn id="1" xr3:uid="{00000000-0010-0000-0500-000001000000}" name="Decision_ID"/>
    <tableColumn id="2" xr3:uid="{00000000-0010-0000-0500-000002000000}" name="Decision Requested"/>
    <tableColumn id="3" xr3:uid="{00000000-0010-0000-0500-000003000000}" name="Priority"/>
    <tableColumn id="4" xr3:uid="{00000000-0010-0000-0500-000004000000}" name="Outcome"/>
    <tableColumn id="5" xr3:uid="{00000000-0010-0000-0500-000005000000}" name="Exact Correction/Rationale"/>
    <tableColumn id="6" xr3:uid="{00000000-0010-0000-0500-000006000000}" name="Approver"/>
    <tableColumn id="7" xr3:uid="{00000000-0010-0000-0500-000007000000}" name="Owner"/>
    <tableColumn id="8" xr3:uid="{00000000-0010-0000-0500-000008000000}" name="Written Deadline"/>
    <tableColumn id="9" xr3:uid="{00000000-0010-0000-0500-000009000000}" name="Affected Artifacts"/>
    <tableColumn id="10" xr3:uid="{00000000-0010-0000-0500-00000A000000}" name="Propagation 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HumanReviewBatchesTable" displayName="HumanReviewBatchesTable" ref="A3:K24" totalsRowShown="0">
  <tableColumns count="11">
    <tableColumn id="1" xr3:uid="{00000000-0010-0000-0600-000001000000}" name="Batch_ID"/>
    <tableColumn id="2" xr3:uid="{00000000-0010-0000-0600-000002000000}" name="Segment Range"/>
    <tableColumn id="3" xr3:uid="{00000000-0010-0000-0600-000003000000}" name="Segment Count"/>
    <tableColumn id="4" xr3:uid="{00000000-0010-0000-0600-000004000000}" name="Purpose"/>
    <tableColumn id="5" xr3:uid="{00000000-0010-0000-0600-000005000000}" name="Reviewer A"/>
    <tableColumn id="6" xr3:uid="{00000000-0010-0000-0600-000006000000}" name="Reviewer B"/>
    <tableColumn id="7" xr3:uid="{00000000-0010-0000-0600-000007000000}" name="Adjudicator"/>
    <tableColumn id="8" xr3:uid="{00000000-0010-0000-0600-000008000000}" name="Status"/>
    <tableColumn id="9" xr3:uid="{00000000-0010-0000-0600-000009000000}" name="Due"/>
    <tableColumn id="10" xr3:uid="{00000000-0010-0000-0600-00000A000000}" name="Overdue"/>
    <tableColumn id="11" xr3:uid="{00000000-0010-0000-0600-00000B000000}" name="Completion Evidenc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LiteratureExecutionTable" displayName="LiteratureExecutionTable" ref="A3:K20" totalsRowShown="0">
  <tableColumns count="11">
    <tableColumn id="1" xr3:uid="{00000000-0010-0000-0700-000001000000}" name="Query_ID"/>
    <tableColumn id="2" xr3:uid="{00000000-0010-0000-0700-000002000000}" name="Concept"/>
    <tableColumn id="3" xr3:uid="{00000000-0010-0000-0700-000003000000}" name="Frozen Boolean Query"/>
    <tableColumn id="4" xr3:uid="{00000000-0010-0000-0700-000004000000}" name="Database"/>
    <tableColumn id="5" xr3:uid="{00000000-0010-0000-0700-000005000000}" name="Field/Filter Handling"/>
    <tableColumn id="6" xr3:uid="{00000000-0010-0000-0700-000006000000}" name="Status"/>
    <tableColumn id="7" xr3:uid="{00000000-0010-0000-0700-000007000000}" name="Search Date"/>
    <tableColumn id="8" xr3:uid="{00000000-0010-0000-0700-000008000000}" name="Returned"/>
    <tableColumn id="9" xr3:uid="{00000000-0010-0000-0700-000009000000}" name="Included"/>
    <tableColumn id="10" xr3:uid="{00000000-0010-0000-0700-00000A000000}" name="SQ/Study Mapping"/>
    <tableColumn id="11" xr3:uid="{00000000-0010-0000-0700-00000B000000}" name="Evidence/Access No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MedicalReadinessTable" displayName="MedicalReadinessTable" ref="A3:I9" totalsRowShown="0">
  <tableColumns count="9">
    <tableColumn id="1" xr3:uid="{00000000-0010-0000-0800-000001000000}" name="Gate"/>
    <tableColumn id="2" xr3:uid="{00000000-0010-0000-0800-000002000000}" name="Required Control"/>
    <tableColumn id="3" xr3:uid="{00000000-0010-0000-0800-000003000000}" name="Accountable Roles"/>
    <tableColumn id="4" xr3:uid="{00000000-0010-0000-0800-000004000000}" name="Named Owner"/>
    <tableColumn id="5" xr3:uid="{00000000-0010-0000-0800-000005000000}" name="Evidence Path"/>
    <tableColumn id="6" xr3:uid="{00000000-0010-0000-0800-000006000000}" name="Feasible Date"/>
    <tableColumn id="7" xr3:uid="{00000000-0010-0000-0800-000007000000}" name="Actual Result"/>
    <tableColumn id="8" xr3:uid="{00000000-0010-0000-0800-000008000000}" name="Checkpoint Disposition"/>
    <tableColumn id="9" xr3:uid="{00000000-0010-0000-0800-000009000000}" name="Current Blocker"/>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AcceptanceTestsTable" displayName="AcceptanceTestsTable" ref="A3:G17" totalsRowShown="0">
  <tableColumns count="7">
    <tableColumn id="1" xr3:uid="{00000000-0010-0000-0900-000001000000}" name="Test_ID"/>
    <tableColumn id="2" xr3:uid="{00000000-0010-0000-0900-000002000000}" name="Gate"/>
    <tableColumn id="3" xr3:uid="{00000000-0010-0000-0900-000003000000}" name="Required Result"/>
    <tableColumn id="4" xr3:uid="{00000000-0010-0000-0900-000004000000}" name="Current Result"/>
    <tableColumn id="5" xr3:uid="{00000000-0010-0000-0900-000005000000}" name="Mode"/>
    <tableColumn id="6" xr3:uid="{00000000-0010-0000-0900-000006000000}" name="Evidence"/>
    <tableColumn id="7" xr3:uid="{00000000-0010-0000-0900-000007000000}" name="Release Effec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A000000}" name="ControlledListsTable" displayName="ControlledListsTable" ref="A3:E14" totalsRowShown="0">
  <tableColumns count="5">
    <tableColumn id="1" xr3:uid="{00000000-0010-0000-0A00-000001000000}" name="Work Package Status"/>
    <tableColumn id="2" xr3:uid="{00000000-0010-0000-0A00-000002000000}" name="Decision Outcome"/>
    <tableColumn id="3" xr3:uid="{00000000-0010-0000-0A00-000003000000}" name="Gate Result"/>
    <tableColumn id="4" xr3:uid="{00000000-0010-0000-0A00-000004000000}" name="Review Status"/>
    <tableColumn id="5" xr3:uid="{00000000-0010-0000-0A00-000005000000}" name="Control Final St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showGridLines="0" tabSelected="1" workbookViewId="0">
      <pane ySplit="5" topLeftCell="A6" activePane="bottomLeft" state="frozenSplit"/>
      <selection pane="bottomLeft" sqref="A1:K1"/>
    </sheetView>
  </sheetViews>
  <sheetFormatPr defaultRowHeight="13.8"/>
  <cols>
    <col min="1" max="1" width="24" customWidth="1"/>
    <col min="2" max="2" width="34" customWidth="1"/>
    <col min="3" max="3" width="4" customWidth="1"/>
    <col min="4" max="4" width="24" customWidth="1"/>
    <col min="5" max="5" width="12" customWidth="1"/>
    <col min="6" max="6" width="4" customWidth="1"/>
    <col min="7" max="7" width="8" customWidth="1"/>
    <col min="8" max="8" width="44" customWidth="1"/>
    <col min="9" max="9" width="22" customWidth="1"/>
    <col min="10" max="10" width="16" customWidth="1"/>
    <col min="11" max="11" width="34" customWidth="1"/>
  </cols>
  <sheetData>
    <row r="1" spans="1:11" ht="21.6">
      <c r="A1" s="17" t="s">
        <v>0</v>
      </c>
      <c r="B1" s="18"/>
      <c r="C1" s="18"/>
      <c r="D1" s="18"/>
      <c r="E1" s="18"/>
      <c r="F1" s="18"/>
      <c r="G1" s="18"/>
      <c r="H1" s="18"/>
      <c r="I1" s="18"/>
      <c r="J1" s="18"/>
      <c r="K1" s="19"/>
    </row>
    <row r="2" spans="1:11">
      <c r="A2" s="5"/>
      <c r="B2" s="6"/>
      <c r="C2" s="6"/>
      <c r="D2" s="6"/>
      <c r="E2" s="6"/>
      <c r="F2" s="6"/>
      <c r="G2" s="6"/>
      <c r="H2" s="6"/>
      <c r="I2" s="6"/>
      <c r="J2" s="6"/>
      <c r="K2" s="7"/>
    </row>
    <row r="3" spans="1:11">
      <c r="A3" s="20" t="s">
        <v>1</v>
      </c>
      <c r="B3" s="21"/>
      <c r="C3" s="21"/>
      <c r="D3" s="21"/>
      <c r="E3" s="21"/>
      <c r="F3" s="21"/>
      <c r="G3" s="21"/>
      <c r="H3" s="21"/>
      <c r="I3" s="21"/>
      <c r="J3" s="21"/>
      <c r="K3" s="22"/>
    </row>
    <row r="4" spans="1:11">
      <c r="A4" s="5"/>
      <c r="B4" s="6"/>
      <c r="C4" s="6"/>
      <c r="D4" s="6"/>
      <c r="E4" s="6"/>
      <c r="F4" s="6"/>
      <c r="G4" s="6"/>
      <c r="H4" s="6"/>
      <c r="I4" s="6"/>
      <c r="J4" s="6"/>
      <c r="K4" s="7"/>
    </row>
    <row r="5" spans="1:11">
      <c r="A5" s="8" t="s">
        <v>2</v>
      </c>
      <c r="B5" s="9" t="s">
        <v>3</v>
      </c>
      <c r="C5" s="6"/>
      <c r="D5" s="9" t="s">
        <v>4</v>
      </c>
      <c r="E5" s="9" t="s">
        <v>5</v>
      </c>
      <c r="F5" s="6"/>
      <c r="G5" s="23" t="s">
        <v>6</v>
      </c>
      <c r="H5" s="23"/>
      <c r="I5" s="23"/>
      <c r="J5" s="23"/>
      <c r="K5" s="24"/>
    </row>
    <row r="6" spans="1:11">
      <c r="A6" s="10" t="s">
        <v>7</v>
      </c>
      <c r="B6" s="11">
        <f>COUNTA(Control_Acceptance!$A$4:$A$200)</f>
        <v>44</v>
      </c>
      <c r="C6" s="11"/>
      <c r="D6" s="11" t="s">
        <v>8</v>
      </c>
      <c r="E6" s="11">
        <f>COUNTIF(Work_Packages!$H$4:$H$32,D6)</f>
        <v>18</v>
      </c>
      <c r="F6" s="11"/>
      <c r="G6" s="11">
        <v>1</v>
      </c>
      <c r="H6" s="11" t="s">
        <v>9</v>
      </c>
      <c r="I6" s="11" t="s">
        <v>10</v>
      </c>
      <c r="J6" s="11" t="s">
        <v>11</v>
      </c>
      <c r="K6" s="12" t="s">
        <v>12</v>
      </c>
    </row>
    <row r="7" spans="1:11">
      <c r="A7" s="10" t="s">
        <v>13</v>
      </c>
      <c r="B7" s="11" t="str">
        <f>COUNTIF(Control_Acceptance!$P$4:$P$200,"YES")&amp;"/"&amp;COUNTA(Control_Acceptance!$A$4:$A$200)</f>
        <v>0/44</v>
      </c>
      <c r="C7" s="11"/>
      <c r="D7" s="11" t="s">
        <v>10</v>
      </c>
      <c r="E7" s="11">
        <f>COUNTIF(Work_Packages!$H$4:$H$32,D7)</f>
        <v>6</v>
      </c>
      <c r="F7" s="11"/>
      <c r="G7" s="11">
        <v>2</v>
      </c>
      <c r="H7" s="11" t="s">
        <v>14</v>
      </c>
      <c r="I7" s="11" t="s">
        <v>8</v>
      </c>
      <c r="J7" s="11" t="s">
        <v>15</v>
      </c>
      <c r="K7" s="12" t="s">
        <v>16</v>
      </c>
    </row>
    <row r="8" spans="1:11">
      <c r="A8" s="10" t="s">
        <v>17</v>
      </c>
      <c r="B8" s="11" t="str">
        <f>COUNTIF(Decision_Log!$D$4:$D$13,"&lt;&gt;Pending")&amp;"/10"</f>
        <v>0/10</v>
      </c>
      <c r="C8" s="11"/>
      <c r="D8" s="11" t="s">
        <v>18</v>
      </c>
      <c r="E8" s="11">
        <f>COUNTIF(Work_Packages!$H$4:$H$32,D8)</f>
        <v>5</v>
      </c>
      <c r="F8" s="11"/>
      <c r="G8" s="11">
        <v>3</v>
      </c>
      <c r="H8" s="11" t="s">
        <v>19</v>
      </c>
      <c r="I8" s="11" t="s">
        <v>8</v>
      </c>
      <c r="J8" s="11" t="s">
        <v>20</v>
      </c>
      <c r="K8" s="12" t="s">
        <v>21</v>
      </c>
    </row>
    <row r="9" spans="1:11">
      <c r="A9" s="10" t="s">
        <v>22</v>
      </c>
      <c r="B9" s="11" t="s">
        <v>23</v>
      </c>
      <c r="C9" s="11"/>
      <c r="D9" s="11" t="s">
        <v>24</v>
      </c>
      <c r="E9" s="11">
        <f>COUNTIF(Work_Packages!$H$4:$H$32,D9)</f>
        <v>0</v>
      </c>
      <c r="F9" s="11"/>
      <c r="G9" s="11">
        <v>4</v>
      </c>
      <c r="H9" s="11" t="s">
        <v>25</v>
      </c>
      <c r="I9" s="11" t="s">
        <v>8</v>
      </c>
      <c r="J9" s="11" t="s">
        <v>26</v>
      </c>
      <c r="K9" s="12" t="s">
        <v>27</v>
      </c>
    </row>
    <row r="10" spans="1:11">
      <c r="A10" s="10" t="s">
        <v>28</v>
      </c>
      <c r="B10" s="11" t="s">
        <v>29</v>
      </c>
      <c r="C10" s="11"/>
      <c r="D10" s="11" t="s">
        <v>30</v>
      </c>
      <c r="E10" s="11">
        <f>SUM(COUNTIF(Work_Packages!$H$4:$H$32,{"accepted","accepted_ongoing","accepted_after_correction","superseded_approved","not_applicable_approved"}))</f>
        <v>0</v>
      </c>
      <c r="F10" s="11"/>
      <c r="G10" s="11">
        <v>5</v>
      </c>
      <c r="H10" s="11" t="s">
        <v>31</v>
      </c>
      <c r="I10" s="11" t="s">
        <v>18</v>
      </c>
      <c r="J10" s="11" t="s">
        <v>32</v>
      </c>
      <c r="K10" s="12" t="s">
        <v>33</v>
      </c>
    </row>
    <row r="11" spans="1:11">
      <c r="A11" s="10" t="s">
        <v>34</v>
      </c>
      <c r="B11" s="11" t="str">
        <f>COUNTIF(Medical_Gates!$G$4:$G$9,"PASS")&amp;"/6"</f>
        <v>0/6</v>
      </c>
      <c r="C11" s="11"/>
      <c r="D11" s="11"/>
      <c r="E11" s="11"/>
      <c r="F11" s="11"/>
      <c r="G11" s="11">
        <v>6</v>
      </c>
      <c r="H11" s="11" t="s">
        <v>35</v>
      </c>
      <c r="I11" s="11" t="s">
        <v>10</v>
      </c>
      <c r="J11" s="11" t="s">
        <v>36</v>
      </c>
      <c r="K11" s="12" t="s">
        <v>37</v>
      </c>
    </row>
    <row r="12" spans="1:11">
      <c r="A12" s="10" t="s">
        <v>38</v>
      </c>
      <c r="B12" s="11" t="s">
        <v>39</v>
      </c>
      <c r="C12" s="11"/>
      <c r="D12" s="11"/>
      <c r="E12" s="11"/>
      <c r="F12" s="11"/>
      <c r="G12" s="11">
        <v>7</v>
      </c>
      <c r="H12" s="11" t="s">
        <v>40</v>
      </c>
      <c r="I12" s="11" t="s">
        <v>8</v>
      </c>
      <c r="J12" s="11" t="s">
        <v>41</v>
      </c>
      <c r="K12" s="12" t="s">
        <v>42</v>
      </c>
    </row>
    <row r="13" spans="1:11">
      <c r="A13" s="10" t="s">
        <v>43</v>
      </c>
      <c r="B13" s="11" t="s">
        <v>44</v>
      </c>
      <c r="C13" s="11"/>
      <c r="D13" s="11"/>
      <c r="E13" s="11"/>
      <c r="F13" s="11"/>
      <c r="G13" s="11"/>
      <c r="H13" s="11"/>
      <c r="I13" s="11"/>
      <c r="J13" s="11"/>
      <c r="K13" s="12"/>
    </row>
    <row r="14" spans="1:11">
      <c r="A14" s="10" t="s">
        <v>45</v>
      </c>
      <c r="B14" s="11" t="str">
        <f>COUNTA(Role_Assignments!$A$4:$A$22)&amp;"/19"</f>
        <v>19/19</v>
      </c>
      <c r="C14" s="11"/>
      <c r="D14" s="11"/>
      <c r="E14" s="11"/>
      <c r="F14" s="11"/>
      <c r="G14" s="11"/>
      <c r="H14" s="11"/>
      <c r="I14" s="11"/>
      <c r="J14" s="11"/>
      <c r="K14" s="12"/>
    </row>
    <row r="15" spans="1:11">
      <c r="A15" s="5"/>
      <c r="B15" s="6"/>
      <c r="C15" s="6"/>
      <c r="D15" s="6"/>
      <c r="E15" s="6"/>
      <c r="F15" s="6"/>
      <c r="G15" s="6"/>
      <c r="H15" s="6"/>
      <c r="I15" s="6"/>
      <c r="J15" s="6"/>
      <c r="K15" s="7"/>
    </row>
    <row r="16" spans="1:11">
      <c r="A16" s="25" t="s">
        <v>46</v>
      </c>
      <c r="B16" s="26"/>
      <c r="C16" s="26"/>
      <c r="D16" s="26"/>
      <c r="E16" s="26"/>
      <c r="F16" s="26"/>
      <c r="G16" s="26"/>
      <c r="H16" s="26"/>
      <c r="I16" s="26"/>
      <c r="J16" s="26"/>
      <c r="K16" s="27"/>
    </row>
    <row r="17" spans="1:11">
      <c r="A17" s="5"/>
      <c r="B17" s="6"/>
      <c r="C17" s="6"/>
      <c r="D17" s="6"/>
      <c r="E17" s="6"/>
      <c r="F17" s="6"/>
      <c r="G17" s="6"/>
      <c r="H17" s="6"/>
      <c r="I17" s="6"/>
      <c r="J17" s="6"/>
      <c r="K17" s="7"/>
    </row>
    <row r="18" spans="1:11">
      <c r="A18" s="13" t="s">
        <v>47</v>
      </c>
      <c r="B18" s="14">
        <f ca="1">NOW()</f>
        <v>46237.461410185184</v>
      </c>
      <c r="C18" s="15"/>
      <c r="D18" s="15"/>
      <c r="E18" s="15"/>
      <c r="F18" s="15"/>
      <c r="G18" s="15"/>
      <c r="H18" s="15"/>
      <c r="I18" s="15"/>
      <c r="J18" s="15"/>
      <c r="K18" s="16"/>
    </row>
  </sheetData>
  <mergeCells count="4">
    <mergeCell ref="A1:K1"/>
    <mergeCell ref="A3:K3"/>
    <mergeCell ref="G5:K5"/>
    <mergeCell ref="A16:K16"/>
  </mergeCells>
  <conditionalFormatting sqref="D6:D10">
    <cfRule type="cellIs" dxfId="88" priority="1" operator="equal">
      <formula>"planned"</formula>
    </cfRule>
    <cfRule type="cellIs" dxfId="87" priority="2" operator="equal">
      <formula>"in_progress"</formula>
    </cfRule>
    <cfRule type="cellIs" dxfId="86" priority="3" operator="equal">
      <formula>"partial"</formula>
    </cfRule>
    <cfRule type="cellIs" dxfId="85" priority="4" operator="equal">
      <formula>"evidence_ready"</formula>
    </cfRule>
    <cfRule type="cellIs" dxfId="84" priority="5" operator="equal">
      <formula>"acceptance_check_passed"</formula>
    </cfRule>
    <cfRule type="cellIs" dxfId="83" priority="6" operator="equal">
      <formula>"blocked"</formula>
    </cfRule>
    <cfRule type="cellIs" dxfId="82" priority="7" operator="equal">
      <formula>"accepted"</formula>
    </cfRule>
    <cfRule type="cellIs" dxfId="81" priority="8" operator="equal">
      <formula>"accepted_ongoing"</formula>
    </cfRule>
    <cfRule type="cellIs" dxfId="80" priority="9" operator="equal">
      <formula>"accepted_after_correction"</formula>
    </cfRule>
    <cfRule type="cellIs" dxfId="79" priority="10" operator="equal">
      <formula>"superseded_approved"</formula>
    </cfRule>
    <cfRule type="cellIs" dxfId="78" priority="11" operator="equal">
      <formula>"not_applicable_approved"</formula>
    </cfRule>
  </conditionalFormatting>
  <conditionalFormatting sqref="I6:I12">
    <cfRule type="cellIs" dxfId="77" priority="12" operator="equal">
      <formula>"planned"</formula>
    </cfRule>
    <cfRule type="cellIs" dxfId="76" priority="13" operator="equal">
      <formula>"in_progress"</formula>
    </cfRule>
    <cfRule type="cellIs" dxfId="75" priority="14" operator="equal">
      <formula>"partial"</formula>
    </cfRule>
    <cfRule type="cellIs" dxfId="74" priority="15" operator="equal">
      <formula>"evidence_ready"</formula>
    </cfRule>
    <cfRule type="cellIs" dxfId="73" priority="16" operator="equal">
      <formula>"acceptance_check_passed"</formula>
    </cfRule>
    <cfRule type="cellIs" dxfId="72" priority="17" operator="equal">
      <formula>"blocked"</formula>
    </cfRule>
    <cfRule type="cellIs" dxfId="71" priority="18" operator="equal">
      <formula>"accepted"</formula>
    </cfRule>
    <cfRule type="cellIs" dxfId="70" priority="19" operator="equal">
      <formula>"accepted_ongoing"</formula>
    </cfRule>
    <cfRule type="cellIs" dxfId="69" priority="20" operator="equal">
      <formula>"accepted_after_correction"</formula>
    </cfRule>
    <cfRule type="cellIs" dxfId="68" priority="21" operator="equal">
      <formula>"superseded_approved"</formula>
    </cfRule>
    <cfRule type="cellIs" dxfId="67" priority="22" operator="equal">
      <formula>"not_applicable_approved"</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2"/>
  <sheetViews>
    <sheetView showGridLines="0" workbookViewId="0">
      <pane xSplit="2" ySplit="3" topLeftCell="C4" activePane="bottomRight" state="frozenSplit"/>
      <selection pane="bottomLeft" activeCell="A4" sqref="A4"/>
      <selection pane="topRight" activeCell="C1" sqref="C1"/>
      <selection pane="bottomRight" sqref="A1:P1"/>
    </sheetView>
  </sheetViews>
  <sheetFormatPr defaultRowHeight="13.8"/>
  <cols>
    <col min="1" max="1" width="12" customWidth="1"/>
    <col min="2" max="2" width="38" customWidth="1"/>
    <col min="3" max="3" width="28" customWidth="1"/>
    <col min="4" max="4" width="24" customWidth="1"/>
    <col min="5" max="5" width="20" customWidth="1"/>
    <col min="6" max="6" width="18" customWidth="1"/>
    <col min="7" max="8" width="24" customWidth="1"/>
    <col min="9" max="9" width="16" customWidth="1"/>
    <col min="10" max="10" width="28" customWidth="1"/>
    <col min="11" max="12" width="25" customWidth="1"/>
    <col min="13" max="13" width="52" customWidth="1"/>
    <col min="14" max="14" width="58" customWidth="1"/>
    <col min="15" max="15" width="52" customWidth="1"/>
    <col min="16" max="16" width="48" customWidth="1"/>
  </cols>
  <sheetData>
    <row r="1" spans="1:16" ht="30" customHeight="1">
      <c r="A1" s="28" t="s">
        <v>48</v>
      </c>
      <c r="B1" s="28"/>
      <c r="C1" s="28"/>
      <c r="D1" s="28"/>
      <c r="E1" s="28"/>
      <c r="F1" s="28"/>
      <c r="G1" s="28"/>
      <c r="H1" s="28"/>
      <c r="I1" s="28"/>
      <c r="J1" s="28"/>
      <c r="K1" s="28"/>
      <c r="L1" s="28"/>
      <c r="M1" s="28"/>
      <c r="N1" s="28"/>
      <c r="O1" s="28"/>
      <c r="P1" s="28"/>
    </row>
    <row r="2" spans="1:16" ht="34.049999999999997" customHeight="1">
      <c r="A2" s="29" t="s">
        <v>49</v>
      </c>
      <c r="B2" s="29"/>
      <c r="C2" s="29"/>
      <c r="D2" s="29"/>
      <c r="E2" s="29"/>
      <c r="F2" s="29"/>
      <c r="G2" s="29"/>
      <c r="H2" s="29"/>
      <c r="I2" s="29"/>
      <c r="J2" s="29"/>
      <c r="K2" s="29"/>
      <c r="L2" s="29"/>
      <c r="M2" s="29"/>
      <c r="N2" s="29"/>
      <c r="O2" s="29"/>
      <c r="P2" s="29"/>
    </row>
    <row r="3" spans="1:16" ht="31.95" customHeight="1">
      <c r="A3" s="1" t="s">
        <v>50</v>
      </c>
      <c r="B3" s="1" t="s">
        <v>51</v>
      </c>
      <c r="C3" s="1" t="s">
        <v>52</v>
      </c>
      <c r="D3" s="1" t="s">
        <v>53</v>
      </c>
      <c r="E3" s="1" t="s">
        <v>54</v>
      </c>
      <c r="F3" s="1" t="s">
        <v>55</v>
      </c>
      <c r="G3" s="1" t="s">
        <v>56</v>
      </c>
      <c r="H3" s="1" t="s">
        <v>57</v>
      </c>
      <c r="I3" s="1" t="s">
        <v>58</v>
      </c>
      <c r="J3" s="1" t="s">
        <v>59</v>
      </c>
      <c r="K3" s="1" t="s">
        <v>60</v>
      </c>
      <c r="L3" s="1" t="s">
        <v>61</v>
      </c>
      <c r="M3" s="1" t="s">
        <v>62</v>
      </c>
      <c r="N3" s="1" t="s">
        <v>63</v>
      </c>
      <c r="O3" s="1" t="s">
        <v>64</v>
      </c>
      <c r="P3" s="1" t="s">
        <v>65</v>
      </c>
    </row>
    <row r="4" spans="1:16" ht="34.200000000000003">
      <c r="A4" s="2" t="s">
        <v>11</v>
      </c>
      <c r="B4" s="2" t="s">
        <v>66</v>
      </c>
      <c r="C4" s="2" t="s">
        <v>67</v>
      </c>
      <c r="D4" s="2" t="s">
        <v>68</v>
      </c>
      <c r="E4" s="3">
        <v>46236.5</v>
      </c>
      <c r="F4" s="2" t="s">
        <v>69</v>
      </c>
      <c r="G4" s="2" t="s">
        <v>70</v>
      </c>
      <c r="H4" s="2" t="s">
        <v>10</v>
      </c>
      <c r="I4" s="2" t="str">
        <f t="shared" ref="I4:I32" ca="1" si="0">IF(OR(H4="accepted",H4="accepted_ongoing",H4="accepted_after_correction",H4="superseded_approved",H4="not_applicable_approved"),"CLOSED",IF(E4&lt;NOW(),"OVERDUE","ON TRACK"))</f>
        <v>OVERDUE</v>
      </c>
      <c r="J4" s="2" t="s">
        <v>71</v>
      </c>
      <c r="K4" s="2" t="s">
        <v>72</v>
      </c>
      <c r="L4" s="2" t="s">
        <v>70</v>
      </c>
      <c r="M4" s="2" t="s">
        <v>73</v>
      </c>
      <c r="N4" s="2" t="s">
        <v>74</v>
      </c>
      <c r="O4" s="2" t="s">
        <v>75</v>
      </c>
      <c r="P4" s="2" t="s">
        <v>76</v>
      </c>
    </row>
    <row r="5" spans="1:16" ht="45.6">
      <c r="A5" s="2" t="s">
        <v>15</v>
      </c>
      <c r="B5" s="2" t="s">
        <v>77</v>
      </c>
      <c r="C5" s="2" t="s">
        <v>78</v>
      </c>
      <c r="D5" s="2" t="s">
        <v>79</v>
      </c>
      <c r="E5" s="3">
        <v>46237.75</v>
      </c>
      <c r="F5" s="2" t="s">
        <v>69</v>
      </c>
      <c r="G5" s="2" t="s">
        <v>11</v>
      </c>
      <c r="H5" s="2" t="s">
        <v>8</v>
      </c>
      <c r="I5" s="2" t="str">
        <f t="shared" ca="1" si="0"/>
        <v>ON TRACK</v>
      </c>
      <c r="J5" s="2" t="s">
        <v>70</v>
      </c>
      <c r="K5" s="2" t="s">
        <v>80</v>
      </c>
      <c r="L5" s="2" t="s">
        <v>70</v>
      </c>
      <c r="M5" s="2" t="s">
        <v>81</v>
      </c>
      <c r="N5" s="2" t="s">
        <v>82</v>
      </c>
      <c r="O5" s="2" t="s">
        <v>83</v>
      </c>
      <c r="P5" s="2" t="s">
        <v>84</v>
      </c>
    </row>
    <row r="6" spans="1:16" ht="34.200000000000003">
      <c r="A6" s="2" t="s">
        <v>85</v>
      </c>
      <c r="B6" s="2" t="s">
        <v>86</v>
      </c>
      <c r="C6" s="2" t="s">
        <v>87</v>
      </c>
      <c r="D6" s="2" t="s">
        <v>68</v>
      </c>
      <c r="E6" s="3">
        <v>46238.416666666664</v>
      </c>
      <c r="F6" s="2" t="s">
        <v>69</v>
      </c>
      <c r="G6" s="2" t="s">
        <v>15</v>
      </c>
      <c r="H6" s="2" t="s">
        <v>8</v>
      </c>
      <c r="I6" s="2" t="str">
        <f t="shared" ca="1" si="0"/>
        <v>ON TRACK</v>
      </c>
      <c r="J6" s="2" t="s">
        <v>70</v>
      </c>
      <c r="K6" s="2" t="s">
        <v>80</v>
      </c>
      <c r="L6" s="2" t="s">
        <v>70</v>
      </c>
      <c r="M6" s="2" t="s">
        <v>88</v>
      </c>
      <c r="N6" s="2" t="s">
        <v>89</v>
      </c>
      <c r="O6" s="2" t="s">
        <v>90</v>
      </c>
      <c r="P6" s="2" t="s">
        <v>91</v>
      </c>
    </row>
    <row r="7" spans="1:16" ht="45.6">
      <c r="A7" s="2" t="s">
        <v>92</v>
      </c>
      <c r="B7" s="2" t="s">
        <v>93</v>
      </c>
      <c r="C7" s="2" t="s">
        <v>94</v>
      </c>
      <c r="D7" s="2" t="s">
        <v>68</v>
      </c>
      <c r="E7" s="3">
        <v>46238.5</v>
      </c>
      <c r="F7" s="2" t="s">
        <v>69</v>
      </c>
      <c r="G7" s="2" t="s">
        <v>11</v>
      </c>
      <c r="H7" s="2" t="s">
        <v>10</v>
      </c>
      <c r="I7" s="2" t="str">
        <f t="shared" ca="1" si="0"/>
        <v>ON TRACK</v>
      </c>
      <c r="J7" s="2" t="s">
        <v>70</v>
      </c>
      <c r="K7" s="2" t="s">
        <v>95</v>
      </c>
      <c r="L7" s="2" t="s">
        <v>70</v>
      </c>
      <c r="M7" s="2" t="s">
        <v>96</v>
      </c>
      <c r="N7" s="2" t="s">
        <v>97</v>
      </c>
      <c r="O7" s="2" t="s">
        <v>98</v>
      </c>
      <c r="P7" s="2" t="s">
        <v>99</v>
      </c>
    </row>
    <row r="8" spans="1:16" ht="45.6">
      <c r="A8" s="2" t="s">
        <v>20</v>
      </c>
      <c r="B8" s="2" t="s">
        <v>100</v>
      </c>
      <c r="C8" s="2" t="s">
        <v>101</v>
      </c>
      <c r="D8" s="2" t="s">
        <v>102</v>
      </c>
      <c r="E8" s="3">
        <v>46238.625</v>
      </c>
      <c r="F8" s="2" t="s">
        <v>69</v>
      </c>
      <c r="G8" s="2" t="s">
        <v>92</v>
      </c>
      <c r="H8" s="2" t="s">
        <v>8</v>
      </c>
      <c r="I8" s="2" t="str">
        <f t="shared" ca="1" si="0"/>
        <v>ON TRACK</v>
      </c>
      <c r="J8" s="2" t="s">
        <v>70</v>
      </c>
      <c r="K8" s="2" t="s">
        <v>103</v>
      </c>
      <c r="L8" s="2" t="s">
        <v>70</v>
      </c>
      <c r="M8" s="2" t="s">
        <v>104</v>
      </c>
      <c r="N8" s="2" t="s">
        <v>105</v>
      </c>
      <c r="O8" s="2" t="s">
        <v>106</v>
      </c>
      <c r="P8" s="2" t="s">
        <v>107</v>
      </c>
    </row>
    <row r="9" spans="1:16" ht="34.200000000000003">
      <c r="A9" s="2" t="s">
        <v>26</v>
      </c>
      <c r="B9" s="2" t="s">
        <v>108</v>
      </c>
      <c r="C9" s="2" t="s">
        <v>109</v>
      </c>
      <c r="D9" s="2" t="s">
        <v>110</v>
      </c>
      <c r="E9" s="3">
        <v>46238.75</v>
      </c>
      <c r="F9" s="2" t="s">
        <v>69</v>
      </c>
      <c r="G9" s="2" t="s">
        <v>111</v>
      </c>
      <c r="H9" s="2" t="s">
        <v>8</v>
      </c>
      <c r="I9" s="2" t="str">
        <f t="shared" ca="1" si="0"/>
        <v>ON TRACK</v>
      </c>
      <c r="J9" s="2" t="s">
        <v>112</v>
      </c>
      <c r="K9" s="2" t="s">
        <v>113</v>
      </c>
      <c r="L9" s="2" t="s">
        <v>70</v>
      </c>
      <c r="M9" s="2" t="s">
        <v>114</v>
      </c>
      <c r="N9" s="2" t="s">
        <v>115</v>
      </c>
      <c r="O9" s="2" t="s">
        <v>116</v>
      </c>
      <c r="P9" s="2" t="s">
        <v>117</v>
      </c>
    </row>
    <row r="10" spans="1:16" ht="34.200000000000003">
      <c r="A10" s="2" t="s">
        <v>32</v>
      </c>
      <c r="B10" s="2" t="s">
        <v>118</v>
      </c>
      <c r="C10" s="2" t="s">
        <v>119</v>
      </c>
      <c r="D10" s="2" t="s">
        <v>110</v>
      </c>
      <c r="E10" s="3">
        <v>46239.416666666664</v>
      </c>
      <c r="F10" s="2" t="s">
        <v>69</v>
      </c>
      <c r="G10" s="2" t="s">
        <v>26</v>
      </c>
      <c r="H10" s="2" t="s">
        <v>18</v>
      </c>
      <c r="I10" s="2" t="str">
        <f t="shared" ca="1" si="0"/>
        <v>ON TRACK</v>
      </c>
      <c r="J10" s="2" t="s">
        <v>120</v>
      </c>
      <c r="K10" s="2" t="s">
        <v>121</v>
      </c>
      <c r="L10" s="2" t="s">
        <v>70</v>
      </c>
      <c r="M10" s="2" t="s">
        <v>122</v>
      </c>
      <c r="N10" s="2" t="s">
        <v>123</v>
      </c>
      <c r="O10" s="2" t="s">
        <v>124</v>
      </c>
      <c r="P10" s="2" t="s">
        <v>125</v>
      </c>
    </row>
    <row r="11" spans="1:16" ht="34.200000000000003">
      <c r="A11" s="2" t="s">
        <v>126</v>
      </c>
      <c r="B11" s="2" t="s">
        <v>127</v>
      </c>
      <c r="C11" s="2" t="s">
        <v>128</v>
      </c>
      <c r="D11" s="2" t="s">
        <v>110</v>
      </c>
      <c r="E11" s="3">
        <v>46240.416666666664</v>
      </c>
      <c r="F11" s="2" t="s">
        <v>69</v>
      </c>
      <c r="G11" s="2" t="s">
        <v>32</v>
      </c>
      <c r="H11" s="2" t="s">
        <v>8</v>
      </c>
      <c r="I11" s="2" t="str">
        <f t="shared" ca="1" si="0"/>
        <v>ON TRACK</v>
      </c>
      <c r="J11" s="2" t="s">
        <v>129</v>
      </c>
      <c r="K11" s="2" t="s">
        <v>130</v>
      </c>
      <c r="L11" s="2" t="s">
        <v>70</v>
      </c>
      <c r="M11" s="2" t="s">
        <v>131</v>
      </c>
      <c r="N11" s="2" t="s">
        <v>132</v>
      </c>
      <c r="O11" s="2" t="s">
        <v>133</v>
      </c>
      <c r="P11" s="2" t="s">
        <v>134</v>
      </c>
    </row>
    <row r="12" spans="1:16" ht="22.8">
      <c r="A12" s="2" t="s">
        <v>36</v>
      </c>
      <c r="B12" s="2" t="s">
        <v>135</v>
      </c>
      <c r="C12" s="2" t="s">
        <v>136</v>
      </c>
      <c r="D12" s="2" t="s">
        <v>68</v>
      </c>
      <c r="E12" s="3">
        <v>46246.75</v>
      </c>
      <c r="F12" s="2" t="s">
        <v>69</v>
      </c>
      <c r="G12" s="2" t="s">
        <v>32</v>
      </c>
      <c r="H12" s="2" t="s">
        <v>10</v>
      </c>
      <c r="I12" s="2" t="str">
        <f t="shared" ca="1" si="0"/>
        <v>ON TRACK</v>
      </c>
      <c r="J12" s="2" t="s">
        <v>137</v>
      </c>
      <c r="K12" s="2" t="s">
        <v>70</v>
      </c>
      <c r="L12" s="2" t="s">
        <v>70</v>
      </c>
      <c r="M12" s="2" t="s">
        <v>138</v>
      </c>
      <c r="N12" s="2" t="s">
        <v>139</v>
      </c>
      <c r="O12" s="2" t="s">
        <v>140</v>
      </c>
      <c r="P12" s="2" t="s">
        <v>141</v>
      </c>
    </row>
    <row r="13" spans="1:16" ht="57">
      <c r="A13" s="2" t="s">
        <v>142</v>
      </c>
      <c r="B13" s="2" t="s">
        <v>143</v>
      </c>
      <c r="C13" s="2" t="s">
        <v>144</v>
      </c>
      <c r="D13" s="2" t="s">
        <v>145</v>
      </c>
      <c r="E13" s="3">
        <v>46246.75</v>
      </c>
      <c r="F13" s="2" t="s">
        <v>69</v>
      </c>
      <c r="G13" s="2" t="s">
        <v>32</v>
      </c>
      <c r="H13" s="2" t="s">
        <v>10</v>
      </c>
      <c r="I13" s="2" t="str">
        <f t="shared" ca="1" si="0"/>
        <v>ON TRACK</v>
      </c>
      <c r="J13" s="2" t="s">
        <v>146</v>
      </c>
      <c r="K13" s="2" t="s">
        <v>70</v>
      </c>
      <c r="L13" s="2" t="s">
        <v>70</v>
      </c>
      <c r="M13" s="2" t="s">
        <v>147</v>
      </c>
      <c r="N13" s="2" t="s">
        <v>148</v>
      </c>
      <c r="O13" s="2" t="s">
        <v>149</v>
      </c>
      <c r="P13" s="2" t="s">
        <v>150</v>
      </c>
    </row>
    <row r="14" spans="1:16" ht="45.6">
      <c r="A14" s="2" t="s">
        <v>151</v>
      </c>
      <c r="B14" s="2" t="s">
        <v>152</v>
      </c>
      <c r="C14" s="2" t="s">
        <v>153</v>
      </c>
      <c r="D14" s="2" t="s">
        <v>154</v>
      </c>
      <c r="E14" s="3">
        <v>46240.75</v>
      </c>
      <c r="F14" s="2" t="s">
        <v>69</v>
      </c>
      <c r="G14" s="2" t="s">
        <v>32</v>
      </c>
      <c r="H14" s="2" t="s">
        <v>8</v>
      </c>
      <c r="I14" s="2" t="str">
        <f t="shared" ca="1" si="0"/>
        <v>ON TRACK</v>
      </c>
      <c r="J14" s="2" t="s">
        <v>70</v>
      </c>
      <c r="K14" s="2" t="s">
        <v>70</v>
      </c>
      <c r="L14" s="2" t="s">
        <v>155</v>
      </c>
      <c r="M14" s="2" t="s">
        <v>156</v>
      </c>
      <c r="N14" s="2" t="s">
        <v>157</v>
      </c>
      <c r="O14" s="2" t="s">
        <v>158</v>
      </c>
      <c r="P14" s="2" t="s">
        <v>159</v>
      </c>
    </row>
    <row r="15" spans="1:16" ht="57">
      <c r="A15" s="2" t="s">
        <v>160</v>
      </c>
      <c r="B15" s="2" t="s">
        <v>161</v>
      </c>
      <c r="C15" s="2" t="s">
        <v>162</v>
      </c>
      <c r="D15" s="2" t="s">
        <v>163</v>
      </c>
      <c r="E15" s="3">
        <v>46246.75</v>
      </c>
      <c r="F15" s="2" t="s">
        <v>69</v>
      </c>
      <c r="G15" s="2" t="s">
        <v>151</v>
      </c>
      <c r="H15" s="2" t="s">
        <v>8</v>
      </c>
      <c r="I15" s="2" t="str">
        <f t="shared" ca="1" si="0"/>
        <v>ON TRACK</v>
      </c>
      <c r="J15" s="2" t="s">
        <v>70</v>
      </c>
      <c r="K15" s="2" t="s">
        <v>70</v>
      </c>
      <c r="L15" s="2" t="s">
        <v>164</v>
      </c>
      <c r="M15" s="2" t="s">
        <v>165</v>
      </c>
      <c r="N15" s="2" t="s">
        <v>166</v>
      </c>
      <c r="O15" s="2" t="s">
        <v>167</v>
      </c>
      <c r="P15" s="2" t="s">
        <v>168</v>
      </c>
    </row>
    <row r="16" spans="1:16" ht="57">
      <c r="A16" s="2" t="s">
        <v>169</v>
      </c>
      <c r="B16" s="2" t="s">
        <v>170</v>
      </c>
      <c r="C16" s="2" t="s">
        <v>171</v>
      </c>
      <c r="D16" s="2" t="s">
        <v>163</v>
      </c>
      <c r="E16" s="3">
        <v>46253.5</v>
      </c>
      <c r="F16" s="2" t="s">
        <v>69</v>
      </c>
      <c r="G16" s="2" t="s">
        <v>160</v>
      </c>
      <c r="H16" s="2" t="s">
        <v>8</v>
      </c>
      <c r="I16" s="2" t="str">
        <f t="shared" ca="1" si="0"/>
        <v>ON TRACK</v>
      </c>
      <c r="J16" s="2" t="s">
        <v>70</v>
      </c>
      <c r="K16" s="2" t="s">
        <v>70</v>
      </c>
      <c r="L16" s="2" t="s">
        <v>172</v>
      </c>
      <c r="M16" s="2" t="s">
        <v>173</v>
      </c>
      <c r="N16" s="2" t="s">
        <v>174</v>
      </c>
      <c r="O16" s="2" t="s">
        <v>175</v>
      </c>
      <c r="P16" s="2" t="s">
        <v>176</v>
      </c>
    </row>
    <row r="17" spans="1:16" ht="57">
      <c r="A17" s="2" t="s">
        <v>177</v>
      </c>
      <c r="B17" s="2" t="s">
        <v>178</v>
      </c>
      <c r="C17" s="2" t="s">
        <v>179</v>
      </c>
      <c r="D17" s="2" t="s">
        <v>180</v>
      </c>
      <c r="E17" s="3">
        <v>46253.75</v>
      </c>
      <c r="F17" s="2" t="s">
        <v>69</v>
      </c>
      <c r="G17" s="2" t="s">
        <v>169</v>
      </c>
      <c r="H17" s="2" t="s">
        <v>8</v>
      </c>
      <c r="I17" s="2" t="str">
        <f t="shared" ca="1" si="0"/>
        <v>ON TRACK</v>
      </c>
      <c r="J17" s="2" t="s">
        <v>70</v>
      </c>
      <c r="K17" s="2" t="s">
        <v>70</v>
      </c>
      <c r="L17" s="2" t="s">
        <v>181</v>
      </c>
      <c r="M17" s="2" t="s">
        <v>182</v>
      </c>
      <c r="N17" s="2" t="s">
        <v>183</v>
      </c>
      <c r="O17" s="2" t="s">
        <v>184</v>
      </c>
      <c r="P17" s="2" t="s">
        <v>185</v>
      </c>
    </row>
    <row r="18" spans="1:16" ht="45.6">
      <c r="A18" s="2" t="s">
        <v>186</v>
      </c>
      <c r="B18" s="2" t="s">
        <v>187</v>
      </c>
      <c r="C18" s="2" t="s">
        <v>188</v>
      </c>
      <c r="D18" s="2" t="s">
        <v>189</v>
      </c>
      <c r="E18" s="3">
        <v>46253.75</v>
      </c>
      <c r="F18" s="2" t="s">
        <v>69</v>
      </c>
      <c r="G18" s="2" t="s">
        <v>190</v>
      </c>
      <c r="H18" s="2" t="s">
        <v>10</v>
      </c>
      <c r="I18" s="2" t="str">
        <f t="shared" ca="1" si="0"/>
        <v>ON TRACK</v>
      </c>
      <c r="J18" s="2" t="s">
        <v>191</v>
      </c>
      <c r="K18" s="2" t="s">
        <v>70</v>
      </c>
      <c r="L18" s="2" t="s">
        <v>70</v>
      </c>
      <c r="M18" s="2" t="s">
        <v>192</v>
      </c>
      <c r="N18" s="2" t="s">
        <v>193</v>
      </c>
      <c r="O18" s="2" t="s">
        <v>194</v>
      </c>
      <c r="P18" s="2" t="s">
        <v>195</v>
      </c>
    </row>
    <row r="19" spans="1:16" ht="57">
      <c r="A19" s="2" t="s">
        <v>196</v>
      </c>
      <c r="B19" s="2" t="s">
        <v>197</v>
      </c>
      <c r="C19" s="2" t="s">
        <v>198</v>
      </c>
      <c r="D19" s="2" t="s">
        <v>154</v>
      </c>
      <c r="E19" s="3">
        <v>46260.5</v>
      </c>
      <c r="F19" s="2" t="s">
        <v>69</v>
      </c>
      <c r="G19" s="2" t="s">
        <v>177</v>
      </c>
      <c r="H19" s="2" t="s">
        <v>8</v>
      </c>
      <c r="I19" s="2" t="str">
        <f t="shared" ca="1" si="0"/>
        <v>ON TRACK</v>
      </c>
      <c r="J19" s="2" t="s">
        <v>70</v>
      </c>
      <c r="K19" s="2" t="s">
        <v>70</v>
      </c>
      <c r="L19" s="2" t="s">
        <v>199</v>
      </c>
      <c r="M19" s="2" t="s">
        <v>200</v>
      </c>
      <c r="N19" s="2" t="s">
        <v>201</v>
      </c>
      <c r="O19" s="2" t="s">
        <v>202</v>
      </c>
      <c r="P19" s="2" t="s">
        <v>203</v>
      </c>
    </row>
    <row r="20" spans="1:16" ht="45.6">
      <c r="A20" s="2" t="s">
        <v>204</v>
      </c>
      <c r="B20" s="2" t="s">
        <v>205</v>
      </c>
      <c r="C20" s="2" t="s">
        <v>206</v>
      </c>
      <c r="D20" s="2" t="s">
        <v>110</v>
      </c>
      <c r="E20" s="3">
        <v>46260.75</v>
      </c>
      <c r="F20" s="2" t="s">
        <v>69</v>
      </c>
      <c r="G20" s="2" t="s">
        <v>207</v>
      </c>
      <c r="H20" s="2" t="s">
        <v>10</v>
      </c>
      <c r="I20" s="2" t="str">
        <f t="shared" ca="1" si="0"/>
        <v>ON TRACK</v>
      </c>
      <c r="J20" s="2" t="s">
        <v>208</v>
      </c>
      <c r="K20" s="2" t="s">
        <v>209</v>
      </c>
      <c r="L20" s="2" t="s">
        <v>70</v>
      </c>
      <c r="M20" s="2" t="s">
        <v>210</v>
      </c>
      <c r="N20" s="2" t="s">
        <v>211</v>
      </c>
      <c r="O20" s="2" t="s">
        <v>212</v>
      </c>
      <c r="P20" s="2" t="s">
        <v>213</v>
      </c>
    </row>
    <row r="21" spans="1:16" ht="68.400000000000006">
      <c r="A21" s="2" t="s">
        <v>41</v>
      </c>
      <c r="B21" s="2" t="s">
        <v>214</v>
      </c>
      <c r="C21" s="2" t="s">
        <v>215</v>
      </c>
      <c r="D21" s="2" t="s">
        <v>216</v>
      </c>
      <c r="E21" s="3">
        <v>46260.999305555553</v>
      </c>
      <c r="F21" s="2" t="s">
        <v>69</v>
      </c>
      <c r="G21" s="2" t="s">
        <v>204</v>
      </c>
      <c r="H21" s="2" t="s">
        <v>8</v>
      </c>
      <c r="I21" s="2" t="str">
        <f t="shared" ca="1" si="0"/>
        <v>ON TRACK</v>
      </c>
      <c r="J21" s="2" t="s">
        <v>217</v>
      </c>
      <c r="K21" s="2" t="s">
        <v>70</v>
      </c>
      <c r="L21" s="2" t="s">
        <v>70</v>
      </c>
      <c r="M21" s="2" t="s">
        <v>218</v>
      </c>
      <c r="N21" s="2" t="s">
        <v>219</v>
      </c>
      <c r="O21" s="2" t="s">
        <v>220</v>
      </c>
      <c r="P21" s="2" t="s">
        <v>221</v>
      </c>
    </row>
    <row r="22" spans="1:16" ht="45.6">
      <c r="A22" s="2" t="s">
        <v>222</v>
      </c>
      <c r="B22" s="2" t="s">
        <v>223</v>
      </c>
      <c r="C22" s="2" t="s">
        <v>224</v>
      </c>
      <c r="D22" s="2" t="s">
        <v>225</v>
      </c>
      <c r="E22" s="3">
        <v>46261.5</v>
      </c>
      <c r="F22" s="2" t="s">
        <v>69</v>
      </c>
      <c r="G22" s="2" t="s">
        <v>41</v>
      </c>
      <c r="H22" s="2" t="s">
        <v>8</v>
      </c>
      <c r="I22" s="2" t="str">
        <f t="shared" ca="1" si="0"/>
        <v>ON TRACK</v>
      </c>
      <c r="J22" s="2" t="s">
        <v>226</v>
      </c>
      <c r="K22" s="2" t="s">
        <v>70</v>
      </c>
      <c r="L22" s="2" t="s">
        <v>70</v>
      </c>
      <c r="M22" s="2" t="s">
        <v>227</v>
      </c>
      <c r="N22" s="2" t="s">
        <v>228</v>
      </c>
      <c r="O22" s="2" t="s">
        <v>229</v>
      </c>
      <c r="P22" s="2" t="s">
        <v>230</v>
      </c>
    </row>
    <row r="23" spans="1:16" ht="34.200000000000003">
      <c r="A23" s="2" t="s">
        <v>231</v>
      </c>
      <c r="B23" s="2" t="s">
        <v>232</v>
      </c>
      <c r="C23" s="2" t="s">
        <v>233</v>
      </c>
      <c r="D23" s="2" t="s">
        <v>180</v>
      </c>
      <c r="E23" s="3">
        <v>46274.75</v>
      </c>
      <c r="F23" s="2" t="s">
        <v>69</v>
      </c>
      <c r="G23" s="2" t="s">
        <v>196</v>
      </c>
      <c r="H23" s="2" t="s">
        <v>8</v>
      </c>
      <c r="I23" s="2" t="str">
        <f t="shared" ca="1" si="0"/>
        <v>ON TRACK</v>
      </c>
      <c r="J23" s="2" t="s">
        <v>70</v>
      </c>
      <c r="K23" s="2" t="s">
        <v>70</v>
      </c>
      <c r="L23" s="2" t="s">
        <v>234</v>
      </c>
      <c r="M23" s="2" t="s">
        <v>235</v>
      </c>
      <c r="N23" s="2" t="s">
        <v>236</v>
      </c>
      <c r="O23" s="2" t="s">
        <v>237</v>
      </c>
      <c r="P23" s="2" t="s">
        <v>238</v>
      </c>
    </row>
    <row r="24" spans="1:16" ht="68.400000000000006">
      <c r="A24" s="2" t="s">
        <v>239</v>
      </c>
      <c r="B24" s="2" t="s">
        <v>240</v>
      </c>
      <c r="C24" s="2" t="s">
        <v>241</v>
      </c>
      <c r="D24" s="2" t="s">
        <v>242</v>
      </c>
      <c r="E24" s="3">
        <v>46280.75</v>
      </c>
      <c r="F24" s="2" t="s">
        <v>69</v>
      </c>
      <c r="G24" s="2" t="s">
        <v>243</v>
      </c>
      <c r="H24" s="2" t="s">
        <v>8</v>
      </c>
      <c r="I24" s="2" t="str">
        <f t="shared" ca="1" si="0"/>
        <v>ON TRACK</v>
      </c>
      <c r="J24" s="2" t="s">
        <v>70</v>
      </c>
      <c r="K24" s="2" t="s">
        <v>70</v>
      </c>
      <c r="L24" s="2" t="s">
        <v>244</v>
      </c>
      <c r="M24" s="2" t="s">
        <v>245</v>
      </c>
      <c r="N24" s="2" t="s">
        <v>246</v>
      </c>
      <c r="O24" s="2" t="s">
        <v>247</v>
      </c>
      <c r="P24" s="2" t="s">
        <v>248</v>
      </c>
    </row>
    <row r="25" spans="1:16" ht="45.6">
      <c r="A25" s="2" t="s">
        <v>249</v>
      </c>
      <c r="B25" s="2" t="s">
        <v>250</v>
      </c>
      <c r="C25" s="2" t="s">
        <v>251</v>
      </c>
      <c r="D25" s="2" t="s">
        <v>252</v>
      </c>
      <c r="E25" s="3">
        <v>46280.75</v>
      </c>
      <c r="F25" s="2" t="s">
        <v>69</v>
      </c>
      <c r="G25" s="2" t="s">
        <v>253</v>
      </c>
      <c r="H25" s="2" t="s">
        <v>8</v>
      </c>
      <c r="I25" s="2" t="str">
        <f t="shared" ca="1" si="0"/>
        <v>ON TRACK</v>
      </c>
      <c r="J25" s="2" t="s">
        <v>70</v>
      </c>
      <c r="K25" s="2" t="s">
        <v>70</v>
      </c>
      <c r="L25" s="2" t="s">
        <v>254</v>
      </c>
      <c r="M25" s="2" t="s">
        <v>255</v>
      </c>
      <c r="N25" s="2" t="s">
        <v>256</v>
      </c>
      <c r="O25" s="2" t="s">
        <v>257</v>
      </c>
      <c r="P25" s="2" t="s">
        <v>258</v>
      </c>
    </row>
    <row r="26" spans="1:16" ht="22.8">
      <c r="A26" s="2" t="s">
        <v>259</v>
      </c>
      <c r="B26" s="2" t="s">
        <v>260</v>
      </c>
      <c r="C26" s="2" t="s">
        <v>261</v>
      </c>
      <c r="D26" s="2" t="s">
        <v>110</v>
      </c>
      <c r="E26" s="3">
        <v>46267.75</v>
      </c>
      <c r="F26" s="2" t="s">
        <v>69</v>
      </c>
      <c r="G26" s="2" t="s">
        <v>262</v>
      </c>
      <c r="H26" s="2" t="s">
        <v>18</v>
      </c>
      <c r="I26" s="2" t="str">
        <f t="shared" ca="1" si="0"/>
        <v>ON TRACK</v>
      </c>
      <c r="J26" s="2" t="s">
        <v>263</v>
      </c>
      <c r="K26" s="2" t="s">
        <v>70</v>
      </c>
      <c r="L26" s="2" t="s">
        <v>70</v>
      </c>
      <c r="M26" s="2" t="s">
        <v>264</v>
      </c>
      <c r="N26" s="2" t="s">
        <v>265</v>
      </c>
      <c r="O26" s="2" t="s">
        <v>266</v>
      </c>
      <c r="P26" s="2" t="s">
        <v>267</v>
      </c>
    </row>
    <row r="27" spans="1:16" ht="22.8">
      <c r="A27" s="2" t="s">
        <v>268</v>
      </c>
      <c r="B27" s="2" t="s">
        <v>269</v>
      </c>
      <c r="C27" s="2" t="s">
        <v>270</v>
      </c>
      <c r="D27" s="2" t="s">
        <v>180</v>
      </c>
      <c r="E27" s="3">
        <v>46274.75</v>
      </c>
      <c r="F27" s="2" t="s">
        <v>69</v>
      </c>
      <c r="G27" s="2" t="s">
        <v>271</v>
      </c>
      <c r="H27" s="2" t="s">
        <v>18</v>
      </c>
      <c r="I27" s="2" t="str">
        <f t="shared" ca="1" si="0"/>
        <v>ON TRACK</v>
      </c>
      <c r="J27" s="2" t="s">
        <v>70</v>
      </c>
      <c r="K27" s="2" t="s">
        <v>209</v>
      </c>
      <c r="L27" s="2" t="s">
        <v>70</v>
      </c>
      <c r="M27" s="2" t="s">
        <v>272</v>
      </c>
      <c r="N27" s="2" t="s">
        <v>273</v>
      </c>
      <c r="O27" s="2" t="s">
        <v>274</v>
      </c>
      <c r="P27" s="2" t="s">
        <v>275</v>
      </c>
    </row>
    <row r="28" spans="1:16" ht="22.8">
      <c r="A28" s="2" t="s">
        <v>276</v>
      </c>
      <c r="B28" s="2" t="s">
        <v>277</v>
      </c>
      <c r="C28" s="2" t="s">
        <v>278</v>
      </c>
      <c r="D28" s="2" t="s">
        <v>110</v>
      </c>
      <c r="E28" s="3">
        <v>46281.75</v>
      </c>
      <c r="F28" s="2" t="s">
        <v>69</v>
      </c>
      <c r="G28" s="2" t="s">
        <v>279</v>
      </c>
      <c r="H28" s="2" t="s">
        <v>18</v>
      </c>
      <c r="I28" s="2" t="str">
        <f t="shared" ca="1" si="0"/>
        <v>ON TRACK</v>
      </c>
      <c r="J28" s="2" t="s">
        <v>280</v>
      </c>
      <c r="K28" s="2" t="s">
        <v>70</v>
      </c>
      <c r="L28" s="2" t="s">
        <v>70</v>
      </c>
      <c r="M28" s="2" t="s">
        <v>281</v>
      </c>
      <c r="N28" s="2" t="s">
        <v>282</v>
      </c>
      <c r="O28" s="2" t="s">
        <v>283</v>
      </c>
      <c r="P28" s="2" t="s">
        <v>284</v>
      </c>
    </row>
    <row r="29" spans="1:16" ht="34.200000000000003">
      <c r="A29" s="2" t="s">
        <v>285</v>
      </c>
      <c r="B29" s="2" t="s">
        <v>286</v>
      </c>
      <c r="C29" s="2" t="s">
        <v>287</v>
      </c>
      <c r="D29" s="2" t="s">
        <v>288</v>
      </c>
      <c r="E29" s="3">
        <v>46288.75</v>
      </c>
      <c r="F29" s="2" t="s">
        <v>69</v>
      </c>
      <c r="G29" s="2" t="s">
        <v>276</v>
      </c>
      <c r="H29" s="2" t="s">
        <v>8</v>
      </c>
      <c r="I29" s="2" t="str">
        <f t="shared" ca="1" si="0"/>
        <v>ON TRACK</v>
      </c>
      <c r="J29" s="2" t="s">
        <v>289</v>
      </c>
      <c r="K29" s="2" t="s">
        <v>70</v>
      </c>
      <c r="L29" s="2" t="s">
        <v>70</v>
      </c>
      <c r="M29" s="2" t="s">
        <v>290</v>
      </c>
      <c r="N29" s="2" t="s">
        <v>291</v>
      </c>
      <c r="O29" s="2" t="s">
        <v>292</v>
      </c>
      <c r="P29" s="2" t="s">
        <v>293</v>
      </c>
    </row>
    <row r="30" spans="1:16" ht="22.8">
      <c r="A30" s="2" t="s">
        <v>294</v>
      </c>
      <c r="B30" s="2" t="s">
        <v>295</v>
      </c>
      <c r="C30" s="2" t="s">
        <v>296</v>
      </c>
      <c r="D30" s="2" t="s">
        <v>110</v>
      </c>
      <c r="E30" s="3">
        <v>46290.75</v>
      </c>
      <c r="F30" s="2" t="s">
        <v>69</v>
      </c>
      <c r="G30" s="2" t="s">
        <v>285</v>
      </c>
      <c r="H30" s="2" t="s">
        <v>8</v>
      </c>
      <c r="I30" s="2" t="str">
        <f t="shared" ca="1" si="0"/>
        <v>ON TRACK</v>
      </c>
      <c r="J30" s="2" t="s">
        <v>70</v>
      </c>
      <c r="K30" s="2" t="s">
        <v>70</v>
      </c>
      <c r="L30" s="2" t="s">
        <v>70</v>
      </c>
      <c r="M30" s="2" t="s">
        <v>297</v>
      </c>
      <c r="N30" s="2" t="s">
        <v>298</v>
      </c>
      <c r="O30" s="2" t="s">
        <v>299</v>
      </c>
      <c r="P30" s="2" t="s">
        <v>300</v>
      </c>
    </row>
    <row r="31" spans="1:16" ht="22.8">
      <c r="A31" s="2" t="s">
        <v>301</v>
      </c>
      <c r="B31" s="2" t="s">
        <v>302</v>
      </c>
      <c r="C31" s="2" t="s">
        <v>303</v>
      </c>
      <c r="D31" s="2" t="s">
        <v>68</v>
      </c>
      <c r="E31" s="3">
        <v>46295.75</v>
      </c>
      <c r="F31" s="2" t="s">
        <v>69</v>
      </c>
      <c r="G31" s="2" t="s">
        <v>294</v>
      </c>
      <c r="H31" s="2" t="s">
        <v>18</v>
      </c>
      <c r="I31" s="2" t="str">
        <f t="shared" ca="1" si="0"/>
        <v>ON TRACK</v>
      </c>
      <c r="J31" s="2" t="s">
        <v>304</v>
      </c>
      <c r="K31" s="2" t="s">
        <v>70</v>
      </c>
      <c r="L31" s="2" t="s">
        <v>70</v>
      </c>
      <c r="M31" s="2" t="s">
        <v>305</v>
      </c>
      <c r="N31" s="2" t="s">
        <v>306</v>
      </c>
      <c r="O31" s="2" t="s">
        <v>307</v>
      </c>
      <c r="P31" s="2" t="s">
        <v>308</v>
      </c>
    </row>
    <row r="32" spans="1:16" ht="45.6">
      <c r="A32" s="2" t="s">
        <v>309</v>
      </c>
      <c r="B32" s="2" t="s">
        <v>310</v>
      </c>
      <c r="C32" s="2" t="s">
        <v>311</v>
      </c>
      <c r="D32" s="2" t="s">
        <v>288</v>
      </c>
      <c r="E32" s="3">
        <v>46302.75</v>
      </c>
      <c r="F32" s="2" t="s">
        <v>69</v>
      </c>
      <c r="G32" s="2" t="s">
        <v>301</v>
      </c>
      <c r="H32" s="2" t="s">
        <v>8</v>
      </c>
      <c r="I32" s="2" t="str">
        <f t="shared" ca="1" si="0"/>
        <v>ON TRACK</v>
      </c>
      <c r="J32" s="2" t="s">
        <v>304</v>
      </c>
      <c r="K32" s="2" t="s">
        <v>312</v>
      </c>
      <c r="L32" s="2" t="s">
        <v>70</v>
      </c>
      <c r="M32" s="2" t="s">
        <v>313</v>
      </c>
      <c r="N32" s="2" t="s">
        <v>314</v>
      </c>
      <c r="O32" s="2" t="s">
        <v>315</v>
      </c>
      <c r="P32" s="2" t="s">
        <v>316</v>
      </c>
    </row>
  </sheetData>
  <mergeCells count="2">
    <mergeCell ref="A1:P1"/>
    <mergeCell ref="A2:P2"/>
  </mergeCells>
  <conditionalFormatting sqref="H4:H32">
    <cfRule type="cellIs" dxfId="66" priority="1" operator="equal">
      <formula>"planned"</formula>
    </cfRule>
    <cfRule type="cellIs" dxfId="65" priority="2" operator="equal">
      <formula>"in_progress"</formula>
    </cfRule>
    <cfRule type="cellIs" dxfId="64" priority="3" operator="equal">
      <formula>"partial"</formula>
    </cfRule>
    <cfRule type="cellIs" dxfId="63" priority="4" operator="equal">
      <formula>"evidence_ready"</formula>
    </cfRule>
    <cfRule type="cellIs" dxfId="62" priority="5" operator="equal">
      <formula>"acceptance_check_passed"</formula>
    </cfRule>
    <cfRule type="cellIs" dxfId="61" priority="6" operator="equal">
      <formula>"blocked"</formula>
    </cfRule>
    <cfRule type="cellIs" dxfId="60" priority="7" operator="equal">
      <formula>"accepted"</formula>
    </cfRule>
    <cfRule type="cellIs" dxfId="59" priority="8" operator="equal">
      <formula>"accepted_ongoing"</formula>
    </cfRule>
    <cfRule type="cellIs" dxfId="58" priority="9" operator="equal">
      <formula>"accepted_after_correction"</formula>
    </cfRule>
    <cfRule type="cellIs" dxfId="57" priority="10" operator="equal">
      <formula>"superseded_approved"</formula>
    </cfRule>
    <cfRule type="cellIs" dxfId="56" priority="11" operator="equal">
      <formula>"not_applicable_approved"</formula>
    </cfRule>
  </conditionalFormatting>
  <conditionalFormatting sqref="I4:I32">
    <cfRule type="cellIs" dxfId="55" priority="12" operator="equal">
      <formula>"OVERDUE"</formula>
    </cfRule>
    <cfRule type="cellIs" dxfId="54" priority="13" operator="equal">
      <formula>"ON TRACK"</formula>
    </cfRule>
    <cfRule type="cellIs" dxfId="53" priority="14" operator="equal">
      <formula>"CLOSED"</formula>
    </cfRule>
  </conditionalFormatting>
  <dataValidations count="1">
    <dataValidation type="list" showErrorMessage="1" errorTitle="Invalid work-package status" error="Choose a value from the work-package status drop-down list." sqref="H4:H32" xr:uid="{00000000-0002-0000-0100-000000000000}">
      <formula1>"planned,in_progress,partial,evidence_ready,acceptance_check_passed,blocked,accepted,accepted_ongoing,accepted_after_correction,superseded_approved,not_applicable_approved"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7"/>
  <sheetViews>
    <sheetView showGridLines="0" workbookViewId="0">
      <pane xSplit="2" ySplit="3" topLeftCell="C4" activePane="bottomRight" state="frozenSplit"/>
      <selection pane="bottomLeft" activeCell="A4" sqref="A4"/>
      <selection pane="topRight" activeCell="C1" sqref="C1"/>
      <selection pane="bottomRight" sqref="A1:R1"/>
    </sheetView>
  </sheetViews>
  <sheetFormatPr defaultRowHeight="13.8"/>
  <cols>
    <col min="1" max="1" width="12" customWidth="1"/>
    <col min="2" max="2" width="16" customWidth="1"/>
    <col min="3" max="3" width="28" customWidth="1"/>
    <col min="4" max="4" width="48" customWidth="1"/>
    <col min="5" max="5" width="40" customWidth="1"/>
    <col min="6" max="6" width="32" customWidth="1"/>
    <col min="7" max="7" width="30" customWidth="1"/>
    <col min="8" max="8" width="28" customWidth="1"/>
    <col min="9" max="9" width="48" customWidth="1"/>
    <col min="10" max="10" width="56" customWidth="1"/>
    <col min="11" max="11" width="34" customWidth="1"/>
    <col min="12" max="12" width="30" customWidth="1"/>
    <col min="13" max="13" width="38" customWidth="1"/>
    <col min="14" max="15" width="48" customWidth="1"/>
    <col min="16" max="16" width="18" customWidth="1"/>
    <col min="17" max="17" width="26" customWidth="1"/>
    <col min="18" max="18" width="48" customWidth="1"/>
  </cols>
  <sheetData>
    <row r="1" spans="1:18" ht="30" customHeight="1">
      <c r="A1" s="28" t="s">
        <v>317</v>
      </c>
      <c r="B1" s="28"/>
      <c r="C1" s="28"/>
      <c r="D1" s="28"/>
      <c r="E1" s="28"/>
      <c r="F1" s="28"/>
      <c r="G1" s="28"/>
      <c r="H1" s="28"/>
      <c r="I1" s="28"/>
      <c r="J1" s="28"/>
      <c r="K1" s="28"/>
      <c r="L1" s="28"/>
      <c r="M1" s="28"/>
      <c r="N1" s="28"/>
      <c r="O1" s="28"/>
      <c r="P1" s="28"/>
      <c r="Q1" s="28"/>
      <c r="R1" s="28"/>
    </row>
    <row r="2" spans="1:18" ht="34.049999999999997" customHeight="1">
      <c r="A2" s="29" t="s">
        <v>318</v>
      </c>
      <c r="B2" s="29"/>
      <c r="C2" s="29"/>
      <c r="D2" s="29"/>
      <c r="E2" s="29"/>
      <c r="F2" s="29"/>
      <c r="G2" s="29"/>
      <c r="H2" s="29"/>
      <c r="I2" s="29"/>
      <c r="J2" s="29"/>
      <c r="K2" s="29"/>
      <c r="L2" s="29"/>
      <c r="M2" s="29"/>
      <c r="N2" s="29"/>
      <c r="O2" s="29"/>
      <c r="P2" s="29"/>
      <c r="Q2" s="29"/>
      <c r="R2" s="29"/>
    </row>
    <row r="3" spans="1:18" ht="31.95" customHeight="1">
      <c r="A3" s="1" t="s">
        <v>319</v>
      </c>
      <c r="B3" s="1" t="s">
        <v>320</v>
      </c>
      <c r="C3" s="1" t="s">
        <v>321</v>
      </c>
      <c r="D3" s="1" t="s">
        <v>322</v>
      </c>
      <c r="E3" s="1" t="s">
        <v>323</v>
      </c>
      <c r="F3" s="1" t="s">
        <v>324</v>
      </c>
      <c r="G3" s="1" t="s">
        <v>325</v>
      </c>
      <c r="H3" s="1" t="s">
        <v>56</v>
      </c>
      <c r="I3" s="1" t="s">
        <v>326</v>
      </c>
      <c r="J3" s="1" t="s">
        <v>327</v>
      </c>
      <c r="K3" s="1" t="s">
        <v>328</v>
      </c>
      <c r="L3" s="1" t="s">
        <v>329</v>
      </c>
      <c r="M3" s="1" t="s">
        <v>330</v>
      </c>
      <c r="N3" s="1" t="s">
        <v>331</v>
      </c>
      <c r="O3" s="1" t="s">
        <v>332</v>
      </c>
      <c r="P3" s="1" t="s">
        <v>333</v>
      </c>
      <c r="Q3" s="1" t="s">
        <v>334</v>
      </c>
      <c r="R3" s="1" t="s">
        <v>335</v>
      </c>
    </row>
    <row r="4" spans="1:18" ht="22.8">
      <c r="A4" s="2" t="s">
        <v>336</v>
      </c>
      <c r="B4" s="2" t="s">
        <v>337</v>
      </c>
      <c r="C4" s="2" t="s">
        <v>338</v>
      </c>
      <c r="D4" s="2" t="s">
        <v>339</v>
      </c>
      <c r="E4" s="2" t="s">
        <v>340</v>
      </c>
      <c r="F4" s="2" t="s">
        <v>341</v>
      </c>
      <c r="G4" s="2" t="s">
        <v>342</v>
      </c>
      <c r="H4" s="2" t="s">
        <v>343</v>
      </c>
      <c r="I4" s="2" t="s">
        <v>344</v>
      </c>
      <c r="J4" s="2" t="s">
        <v>345</v>
      </c>
      <c r="K4" s="2" t="s">
        <v>346</v>
      </c>
      <c r="L4" s="2" t="s">
        <v>347</v>
      </c>
      <c r="M4" s="2" t="s">
        <v>348</v>
      </c>
      <c r="N4" s="2" t="s">
        <v>349</v>
      </c>
      <c r="O4" s="2" t="s">
        <v>350</v>
      </c>
      <c r="P4" s="2" t="str">
        <f t="shared" ref="P4:P47" si="0">IF(OR(N4="Accepted",N4="Accepted with ongoing control",N4="Accepted after correction",N4="Superseded by approved decision",N4="Not applicable by approved Plan B or other decision"),"YES","NO")</f>
        <v>NO</v>
      </c>
      <c r="Q4" s="2" t="s">
        <v>351</v>
      </c>
      <c r="R4" s="2" t="s">
        <v>352</v>
      </c>
    </row>
    <row r="5" spans="1:18" ht="22.8">
      <c r="A5" s="2" t="s">
        <v>353</v>
      </c>
      <c r="B5" s="2" t="s">
        <v>337</v>
      </c>
      <c r="C5" s="2" t="s">
        <v>354</v>
      </c>
      <c r="D5" s="2" t="s">
        <v>355</v>
      </c>
      <c r="E5" s="2" t="s">
        <v>356</v>
      </c>
      <c r="F5" s="2" t="s">
        <v>357</v>
      </c>
      <c r="G5" s="2" t="s">
        <v>358</v>
      </c>
      <c r="H5" s="2" t="s">
        <v>359</v>
      </c>
      <c r="I5" s="2" t="s">
        <v>360</v>
      </c>
      <c r="J5" s="2" t="s">
        <v>361</v>
      </c>
      <c r="K5" s="2" t="s">
        <v>346</v>
      </c>
      <c r="L5" s="2" t="s">
        <v>347</v>
      </c>
      <c r="M5" s="2" t="s">
        <v>348</v>
      </c>
      <c r="N5" s="2" t="s">
        <v>349</v>
      </c>
      <c r="O5" s="2" t="s">
        <v>362</v>
      </c>
      <c r="P5" s="2" t="str">
        <f t="shared" si="0"/>
        <v>NO</v>
      </c>
      <c r="Q5" s="2" t="s">
        <v>351</v>
      </c>
      <c r="R5" s="2" t="s">
        <v>363</v>
      </c>
    </row>
    <row r="6" spans="1:18" ht="22.8">
      <c r="A6" s="2" t="s">
        <v>364</v>
      </c>
      <c r="B6" s="2" t="s">
        <v>337</v>
      </c>
      <c r="C6" s="2" t="s">
        <v>365</v>
      </c>
      <c r="D6" s="2" t="s">
        <v>366</v>
      </c>
      <c r="E6" s="2" t="s">
        <v>367</v>
      </c>
      <c r="F6" s="2" t="s">
        <v>368</v>
      </c>
      <c r="G6" s="2" t="s">
        <v>369</v>
      </c>
      <c r="H6" s="2" t="s">
        <v>370</v>
      </c>
      <c r="I6" s="2" t="s">
        <v>371</v>
      </c>
      <c r="J6" s="2" t="s">
        <v>372</v>
      </c>
      <c r="K6" s="2" t="s">
        <v>346</v>
      </c>
      <c r="L6" s="2" t="s">
        <v>347</v>
      </c>
      <c r="M6" s="2" t="s">
        <v>348</v>
      </c>
      <c r="N6" s="2" t="s">
        <v>349</v>
      </c>
      <c r="O6" s="2" t="s">
        <v>373</v>
      </c>
      <c r="P6" s="2" t="str">
        <f t="shared" si="0"/>
        <v>NO</v>
      </c>
      <c r="Q6" s="2" t="s">
        <v>351</v>
      </c>
      <c r="R6" s="2" t="s">
        <v>374</v>
      </c>
    </row>
    <row r="7" spans="1:18" ht="22.8">
      <c r="A7" s="2" t="s">
        <v>375</v>
      </c>
      <c r="B7" s="2" t="s">
        <v>337</v>
      </c>
      <c r="C7" s="2" t="s">
        <v>376</v>
      </c>
      <c r="D7" s="2" t="s">
        <v>377</v>
      </c>
      <c r="E7" s="2" t="s">
        <v>378</v>
      </c>
      <c r="F7" s="2" t="s">
        <v>379</v>
      </c>
      <c r="G7" s="2" t="s">
        <v>380</v>
      </c>
      <c r="H7" s="2" t="s">
        <v>381</v>
      </c>
      <c r="I7" s="2" t="s">
        <v>382</v>
      </c>
      <c r="J7" s="2" t="s">
        <v>383</v>
      </c>
      <c r="K7" s="2" t="s">
        <v>346</v>
      </c>
      <c r="L7" s="2" t="s">
        <v>384</v>
      </c>
      <c r="M7" s="2" t="s">
        <v>385</v>
      </c>
      <c r="N7" s="2" t="s">
        <v>349</v>
      </c>
      <c r="O7" s="2" t="s">
        <v>386</v>
      </c>
      <c r="P7" s="2" t="str">
        <f t="shared" si="0"/>
        <v>NO</v>
      </c>
      <c r="Q7" s="2" t="s">
        <v>387</v>
      </c>
      <c r="R7" s="2" t="s">
        <v>388</v>
      </c>
    </row>
    <row r="8" spans="1:18" ht="22.8">
      <c r="A8" s="2" t="s">
        <v>389</v>
      </c>
      <c r="B8" s="2" t="s">
        <v>337</v>
      </c>
      <c r="C8" s="2" t="s">
        <v>390</v>
      </c>
      <c r="D8" s="2" t="s">
        <v>391</v>
      </c>
      <c r="E8" s="2" t="s">
        <v>392</v>
      </c>
      <c r="F8" s="2" t="s">
        <v>368</v>
      </c>
      <c r="G8" s="2" t="s">
        <v>393</v>
      </c>
      <c r="H8" s="2" t="s">
        <v>394</v>
      </c>
      <c r="I8" s="2" t="s">
        <v>395</v>
      </c>
      <c r="J8" s="2" t="s">
        <v>396</v>
      </c>
      <c r="K8" s="2" t="s">
        <v>346</v>
      </c>
      <c r="L8" s="2" t="s">
        <v>397</v>
      </c>
      <c r="M8" s="2" t="s">
        <v>398</v>
      </c>
      <c r="N8" s="2" t="s">
        <v>349</v>
      </c>
      <c r="O8" s="2" t="s">
        <v>399</v>
      </c>
      <c r="P8" s="2" t="str">
        <f t="shared" si="0"/>
        <v>NO</v>
      </c>
      <c r="Q8" s="2" t="s">
        <v>400</v>
      </c>
      <c r="R8" s="2" t="s">
        <v>401</v>
      </c>
    </row>
    <row r="9" spans="1:18" ht="22.8">
      <c r="A9" s="2" t="s">
        <v>263</v>
      </c>
      <c r="B9" s="2" t="s">
        <v>337</v>
      </c>
      <c r="C9" s="2" t="s">
        <v>402</v>
      </c>
      <c r="D9" s="2" t="s">
        <v>403</v>
      </c>
      <c r="E9" s="2" t="s">
        <v>404</v>
      </c>
      <c r="F9" s="2" t="s">
        <v>368</v>
      </c>
      <c r="G9" s="2" t="s">
        <v>405</v>
      </c>
      <c r="H9" s="2" t="s">
        <v>406</v>
      </c>
      <c r="I9" s="2" t="s">
        <v>407</v>
      </c>
      <c r="J9" s="2" t="s">
        <v>408</v>
      </c>
      <c r="K9" s="2" t="s">
        <v>346</v>
      </c>
      <c r="L9" s="2" t="s">
        <v>384</v>
      </c>
      <c r="M9" s="2" t="s">
        <v>409</v>
      </c>
      <c r="N9" s="2" t="s">
        <v>349</v>
      </c>
      <c r="O9" s="2" t="s">
        <v>410</v>
      </c>
      <c r="P9" s="2" t="str">
        <f t="shared" si="0"/>
        <v>NO</v>
      </c>
      <c r="Q9" s="2" t="s">
        <v>411</v>
      </c>
      <c r="R9" s="2" t="s">
        <v>412</v>
      </c>
    </row>
    <row r="10" spans="1:18" ht="22.8">
      <c r="A10" s="2" t="s">
        <v>413</v>
      </c>
      <c r="B10" s="2" t="s">
        <v>337</v>
      </c>
      <c r="C10" s="2" t="s">
        <v>414</v>
      </c>
      <c r="D10" s="2" t="s">
        <v>415</v>
      </c>
      <c r="E10" s="2" t="s">
        <v>416</v>
      </c>
      <c r="F10" s="2" t="s">
        <v>417</v>
      </c>
      <c r="G10" s="2" t="s">
        <v>418</v>
      </c>
      <c r="H10" s="2" t="s">
        <v>419</v>
      </c>
      <c r="I10" s="2" t="s">
        <v>420</v>
      </c>
      <c r="J10" s="2" t="s">
        <v>421</v>
      </c>
      <c r="K10" s="2" t="s">
        <v>346</v>
      </c>
      <c r="L10" s="2" t="s">
        <v>347</v>
      </c>
      <c r="M10" s="2" t="s">
        <v>348</v>
      </c>
      <c r="N10" s="2" t="s">
        <v>349</v>
      </c>
      <c r="O10" s="2" t="s">
        <v>422</v>
      </c>
      <c r="P10" s="2" t="str">
        <f t="shared" si="0"/>
        <v>NO</v>
      </c>
      <c r="Q10" s="2" t="s">
        <v>262</v>
      </c>
      <c r="R10" s="2" t="s">
        <v>423</v>
      </c>
    </row>
    <row r="11" spans="1:18" ht="22.8">
      <c r="A11" s="2" t="s">
        <v>424</v>
      </c>
      <c r="B11" s="2" t="s">
        <v>337</v>
      </c>
      <c r="C11" s="2" t="s">
        <v>425</v>
      </c>
      <c r="D11" s="2" t="s">
        <v>426</v>
      </c>
      <c r="E11" s="2" t="s">
        <v>427</v>
      </c>
      <c r="F11" s="2" t="s">
        <v>428</v>
      </c>
      <c r="G11" s="2" t="s">
        <v>429</v>
      </c>
      <c r="H11" s="2" t="s">
        <v>430</v>
      </c>
      <c r="I11" s="2" t="s">
        <v>431</v>
      </c>
      <c r="J11" s="2" t="s">
        <v>432</v>
      </c>
      <c r="K11" s="2" t="s">
        <v>346</v>
      </c>
      <c r="L11" s="2" t="s">
        <v>347</v>
      </c>
      <c r="M11" s="2" t="s">
        <v>433</v>
      </c>
      <c r="N11" s="2" t="s">
        <v>349</v>
      </c>
      <c r="O11" s="2" t="s">
        <v>434</v>
      </c>
      <c r="P11" s="2" t="str">
        <f t="shared" si="0"/>
        <v>NO</v>
      </c>
      <c r="Q11" s="2" t="s">
        <v>435</v>
      </c>
      <c r="R11" s="2" t="s">
        <v>436</v>
      </c>
    </row>
    <row r="12" spans="1:18" ht="34.200000000000003">
      <c r="A12" s="2" t="s">
        <v>437</v>
      </c>
      <c r="B12" s="2" t="s">
        <v>337</v>
      </c>
      <c r="C12" s="2" t="s">
        <v>438</v>
      </c>
      <c r="D12" s="2" t="s">
        <v>439</v>
      </c>
      <c r="E12" s="2" t="s">
        <v>440</v>
      </c>
      <c r="F12" s="2" t="s">
        <v>441</v>
      </c>
      <c r="G12" s="2" t="s">
        <v>442</v>
      </c>
      <c r="H12" s="2" t="s">
        <v>443</v>
      </c>
      <c r="I12" s="2" t="s">
        <v>444</v>
      </c>
      <c r="J12" s="2" t="s">
        <v>445</v>
      </c>
      <c r="K12" s="2" t="s">
        <v>346</v>
      </c>
      <c r="L12" s="2" t="s">
        <v>384</v>
      </c>
      <c r="M12" s="2" t="s">
        <v>446</v>
      </c>
      <c r="N12" s="2" t="s">
        <v>349</v>
      </c>
      <c r="O12" s="2" t="s">
        <v>447</v>
      </c>
      <c r="P12" s="2" t="str">
        <f t="shared" si="0"/>
        <v>NO</v>
      </c>
      <c r="Q12" s="2" t="s">
        <v>448</v>
      </c>
      <c r="R12" s="2" t="s">
        <v>449</v>
      </c>
    </row>
    <row r="13" spans="1:18" ht="34.200000000000003">
      <c r="A13" s="2" t="s">
        <v>450</v>
      </c>
      <c r="B13" s="2" t="s">
        <v>337</v>
      </c>
      <c r="C13" s="2" t="s">
        <v>451</v>
      </c>
      <c r="D13" s="2" t="s">
        <v>452</v>
      </c>
      <c r="E13" s="2" t="s">
        <v>453</v>
      </c>
      <c r="F13" s="2" t="s">
        <v>417</v>
      </c>
      <c r="G13" s="2" t="s">
        <v>454</v>
      </c>
      <c r="H13" s="2" t="s">
        <v>455</v>
      </c>
      <c r="I13" s="2" t="s">
        <v>456</v>
      </c>
      <c r="J13" s="2" t="s">
        <v>457</v>
      </c>
      <c r="K13" s="2" t="s">
        <v>346</v>
      </c>
      <c r="L13" s="2" t="s">
        <v>384</v>
      </c>
      <c r="M13" s="2" t="s">
        <v>348</v>
      </c>
      <c r="N13" s="2" t="s">
        <v>349</v>
      </c>
      <c r="O13" s="2" t="s">
        <v>458</v>
      </c>
      <c r="P13" s="2" t="str">
        <f t="shared" si="0"/>
        <v>NO</v>
      </c>
      <c r="Q13" s="2" t="s">
        <v>448</v>
      </c>
      <c r="R13" s="2" t="s">
        <v>459</v>
      </c>
    </row>
    <row r="14" spans="1:18" ht="34.200000000000003">
      <c r="A14" s="2" t="s">
        <v>460</v>
      </c>
      <c r="B14" s="2" t="s">
        <v>337</v>
      </c>
      <c r="C14" s="2" t="s">
        <v>461</v>
      </c>
      <c r="D14" s="2" t="s">
        <v>462</v>
      </c>
      <c r="E14" s="2" t="s">
        <v>463</v>
      </c>
      <c r="F14" s="2" t="s">
        <v>368</v>
      </c>
      <c r="G14" s="2" t="s">
        <v>464</v>
      </c>
      <c r="H14" s="2" t="s">
        <v>465</v>
      </c>
      <c r="I14" s="2" t="s">
        <v>466</v>
      </c>
      <c r="J14" s="2" t="s">
        <v>467</v>
      </c>
      <c r="K14" s="2" t="s">
        <v>346</v>
      </c>
      <c r="L14" s="2" t="s">
        <v>384</v>
      </c>
      <c r="M14" s="2" t="s">
        <v>468</v>
      </c>
      <c r="N14" s="2" t="s">
        <v>349</v>
      </c>
      <c r="O14" s="2" t="s">
        <v>469</v>
      </c>
      <c r="P14" s="2" t="str">
        <f t="shared" si="0"/>
        <v>NO</v>
      </c>
      <c r="Q14" s="2" t="s">
        <v>470</v>
      </c>
      <c r="R14" s="2" t="s">
        <v>471</v>
      </c>
    </row>
    <row r="15" spans="1:18" ht="34.200000000000003">
      <c r="A15" s="2" t="s">
        <v>472</v>
      </c>
      <c r="B15" s="2" t="s">
        <v>337</v>
      </c>
      <c r="C15" s="2" t="s">
        <v>473</v>
      </c>
      <c r="D15" s="2" t="s">
        <v>474</v>
      </c>
      <c r="E15" s="2" t="s">
        <v>475</v>
      </c>
      <c r="F15" s="2" t="s">
        <v>476</v>
      </c>
      <c r="G15" s="2" t="s">
        <v>477</v>
      </c>
      <c r="H15" s="2" t="s">
        <v>478</v>
      </c>
      <c r="I15" s="2" t="s">
        <v>479</v>
      </c>
      <c r="J15" s="2" t="s">
        <v>480</v>
      </c>
      <c r="K15" s="2" t="s">
        <v>346</v>
      </c>
      <c r="L15" s="2" t="s">
        <v>397</v>
      </c>
      <c r="M15" s="2" t="s">
        <v>481</v>
      </c>
      <c r="N15" s="2" t="s">
        <v>349</v>
      </c>
      <c r="O15" s="2" t="s">
        <v>482</v>
      </c>
      <c r="P15" s="2" t="str">
        <f t="shared" si="0"/>
        <v>NO</v>
      </c>
      <c r="Q15" s="2" t="s">
        <v>470</v>
      </c>
      <c r="R15" s="2" t="s">
        <v>483</v>
      </c>
    </row>
    <row r="16" spans="1:18" ht="22.8">
      <c r="A16" s="2" t="s">
        <v>484</v>
      </c>
      <c r="B16" s="2" t="s">
        <v>337</v>
      </c>
      <c r="C16" s="2" t="s">
        <v>485</v>
      </c>
      <c r="D16" s="2" t="s">
        <v>486</v>
      </c>
      <c r="E16" s="2" t="s">
        <v>487</v>
      </c>
      <c r="F16" s="2" t="s">
        <v>488</v>
      </c>
      <c r="G16" s="2" t="s">
        <v>489</v>
      </c>
      <c r="H16" s="2" t="s">
        <v>490</v>
      </c>
      <c r="I16" s="2" t="s">
        <v>491</v>
      </c>
      <c r="J16" s="2" t="s">
        <v>492</v>
      </c>
      <c r="K16" s="2" t="s">
        <v>346</v>
      </c>
      <c r="L16" s="2" t="s">
        <v>384</v>
      </c>
      <c r="M16" s="2" t="s">
        <v>493</v>
      </c>
      <c r="N16" s="2" t="s">
        <v>349</v>
      </c>
      <c r="O16" s="2" t="s">
        <v>494</v>
      </c>
      <c r="P16" s="2" t="str">
        <f t="shared" si="0"/>
        <v>NO</v>
      </c>
      <c r="Q16" s="2" t="s">
        <v>495</v>
      </c>
      <c r="R16" s="2" t="s">
        <v>496</v>
      </c>
    </row>
    <row r="17" spans="1:18" ht="22.8">
      <c r="A17" s="2" t="s">
        <v>497</v>
      </c>
      <c r="B17" s="2" t="s">
        <v>337</v>
      </c>
      <c r="C17" s="2" t="s">
        <v>498</v>
      </c>
      <c r="D17" s="2" t="s">
        <v>499</v>
      </c>
      <c r="E17" s="2" t="s">
        <v>500</v>
      </c>
      <c r="F17" s="2" t="s">
        <v>368</v>
      </c>
      <c r="G17" s="2" t="s">
        <v>501</v>
      </c>
      <c r="H17" s="2" t="s">
        <v>502</v>
      </c>
      <c r="I17" s="2" t="s">
        <v>503</v>
      </c>
      <c r="J17" s="2" t="s">
        <v>504</v>
      </c>
      <c r="K17" s="2" t="s">
        <v>346</v>
      </c>
      <c r="L17" s="2" t="s">
        <v>384</v>
      </c>
      <c r="M17" s="2" t="s">
        <v>505</v>
      </c>
      <c r="N17" s="2" t="s">
        <v>349</v>
      </c>
      <c r="O17" s="2" t="s">
        <v>506</v>
      </c>
      <c r="P17" s="2" t="str">
        <f t="shared" si="0"/>
        <v>NO</v>
      </c>
      <c r="Q17" s="2" t="s">
        <v>507</v>
      </c>
      <c r="R17" s="2" t="s">
        <v>508</v>
      </c>
    </row>
    <row r="18" spans="1:18" ht="22.8">
      <c r="A18" s="2" t="s">
        <v>509</v>
      </c>
      <c r="B18" s="2" t="s">
        <v>337</v>
      </c>
      <c r="C18" s="2" t="s">
        <v>510</v>
      </c>
      <c r="D18" s="2" t="s">
        <v>511</v>
      </c>
      <c r="E18" s="2" t="s">
        <v>512</v>
      </c>
      <c r="F18" s="2" t="s">
        <v>368</v>
      </c>
      <c r="G18" s="2" t="s">
        <v>513</v>
      </c>
      <c r="H18" s="2" t="s">
        <v>514</v>
      </c>
      <c r="I18" s="2" t="s">
        <v>515</v>
      </c>
      <c r="J18" s="2" t="s">
        <v>516</v>
      </c>
      <c r="K18" s="2" t="s">
        <v>346</v>
      </c>
      <c r="L18" s="2" t="s">
        <v>384</v>
      </c>
      <c r="M18" s="2" t="s">
        <v>517</v>
      </c>
      <c r="N18" s="2" t="s">
        <v>349</v>
      </c>
      <c r="O18" s="2" t="s">
        <v>518</v>
      </c>
      <c r="P18" s="2" t="str">
        <f t="shared" si="0"/>
        <v>NO</v>
      </c>
      <c r="Q18" s="2" t="s">
        <v>507</v>
      </c>
      <c r="R18" s="2" t="s">
        <v>519</v>
      </c>
    </row>
    <row r="19" spans="1:18" ht="22.8">
      <c r="A19" s="2" t="s">
        <v>520</v>
      </c>
      <c r="B19" s="2" t="s">
        <v>337</v>
      </c>
      <c r="C19" s="2" t="s">
        <v>521</v>
      </c>
      <c r="D19" s="2" t="s">
        <v>522</v>
      </c>
      <c r="E19" s="2" t="s">
        <v>523</v>
      </c>
      <c r="F19" s="2" t="s">
        <v>524</v>
      </c>
      <c r="G19" s="2" t="s">
        <v>525</v>
      </c>
      <c r="H19" s="2" t="s">
        <v>526</v>
      </c>
      <c r="I19" s="2" t="s">
        <v>527</v>
      </c>
      <c r="J19" s="2" t="s">
        <v>528</v>
      </c>
      <c r="K19" s="2" t="s">
        <v>346</v>
      </c>
      <c r="L19" s="2" t="s">
        <v>384</v>
      </c>
      <c r="M19" s="2" t="s">
        <v>529</v>
      </c>
      <c r="N19" s="2" t="s">
        <v>349</v>
      </c>
      <c r="O19" s="2" t="s">
        <v>530</v>
      </c>
      <c r="P19" s="2" t="str">
        <f t="shared" si="0"/>
        <v>NO</v>
      </c>
      <c r="Q19" s="2" t="s">
        <v>507</v>
      </c>
      <c r="R19" s="2" t="s">
        <v>531</v>
      </c>
    </row>
    <row r="20" spans="1:18" ht="45.6">
      <c r="A20" s="2" t="s">
        <v>532</v>
      </c>
      <c r="B20" s="2" t="s">
        <v>337</v>
      </c>
      <c r="C20" s="2" t="s">
        <v>533</v>
      </c>
      <c r="D20" s="2" t="s">
        <v>534</v>
      </c>
      <c r="E20" s="2" t="s">
        <v>535</v>
      </c>
      <c r="F20" s="2" t="s">
        <v>536</v>
      </c>
      <c r="G20" s="2" t="s">
        <v>537</v>
      </c>
      <c r="H20" s="2" t="s">
        <v>538</v>
      </c>
      <c r="I20" s="2" t="s">
        <v>539</v>
      </c>
      <c r="J20" s="2" t="s">
        <v>540</v>
      </c>
      <c r="K20" s="2" t="s">
        <v>346</v>
      </c>
      <c r="L20" s="2" t="s">
        <v>384</v>
      </c>
      <c r="M20" s="2" t="s">
        <v>541</v>
      </c>
      <c r="N20" s="2" t="s">
        <v>349</v>
      </c>
      <c r="O20" s="2" t="s">
        <v>542</v>
      </c>
      <c r="P20" s="2" t="str">
        <f t="shared" si="0"/>
        <v>NO</v>
      </c>
      <c r="Q20" s="2" t="s">
        <v>543</v>
      </c>
      <c r="R20" s="2" t="s">
        <v>544</v>
      </c>
    </row>
    <row r="21" spans="1:18" ht="22.8">
      <c r="A21" s="2" t="s">
        <v>545</v>
      </c>
      <c r="B21" s="2" t="s">
        <v>337</v>
      </c>
      <c r="C21" s="2" t="s">
        <v>546</v>
      </c>
      <c r="D21" s="2" t="s">
        <v>547</v>
      </c>
      <c r="E21" s="2" t="s">
        <v>548</v>
      </c>
      <c r="F21" s="2" t="s">
        <v>549</v>
      </c>
      <c r="G21" s="2" t="s">
        <v>550</v>
      </c>
      <c r="H21" s="2" t="s">
        <v>551</v>
      </c>
      <c r="I21" s="2" t="s">
        <v>552</v>
      </c>
      <c r="J21" s="2" t="s">
        <v>553</v>
      </c>
      <c r="K21" s="2" t="s">
        <v>346</v>
      </c>
      <c r="L21" s="2" t="s">
        <v>384</v>
      </c>
      <c r="M21" s="2" t="s">
        <v>554</v>
      </c>
      <c r="N21" s="2" t="s">
        <v>349</v>
      </c>
      <c r="O21" s="2" t="s">
        <v>555</v>
      </c>
      <c r="P21" s="2" t="str">
        <f t="shared" si="0"/>
        <v>NO</v>
      </c>
      <c r="Q21" s="2" t="s">
        <v>400</v>
      </c>
      <c r="R21" s="2" t="s">
        <v>556</v>
      </c>
    </row>
    <row r="22" spans="1:18" ht="22.8">
      <c r="A22" s="2" t="s">
        <v>557</v>
      </c>
      <c r="B22" s="2" t="s">
        <v>337</v>
      </c>
      <c r="C22" s="2" t="s">
        <v>558</v>
      </c>
      <c r="D22" s="2" t="s">
        <v>559</v>
      </c>
      <c r="E22" s="2" t="s">
        <v>560</v>
      </c>
      <c r="F22" s="2" t="s">
        <v>368</v>
      </c>
      <c r="G22" s="2" t="s">
        <v>561</v>
      </c>
      <c r="H22" s="2" t="s">
        <v>562</v>
      </c>
      <c r="I22" s="2" t="s">
        <v>563</v>
      </c>
      <c r="J22" s="2" t="s">
        <v>564</v>
      </c>
      <c r="K22" s="2" t="s">
        <v>346</v>
      </c>
      <c r="L22" s="2" t="s">
        <v>384</v>
      </c>
      <c r="M22" s="2" t="s">
        <v>565</v>
      </c>
      <c r="N22" s="2" t="s">
        <v>349</v>
      </c>
      <c r="O22" s="2" t="s">
        <v>566</v>
      </c>
      <c r="P22" s="2" t="str">
        <f t="shared" si="0"/>
        <v>NO</v>
      </c>
      <c r="Q22" s="2" t="s">
        <v>142</v>
      </c>
      <c r="R22" s="2" t="s">
        <v>567</v>
      </c>
    </row>
    <row r="23" spans="1:18">
      <c r="A23" s="2" t="s">
        <v>568</v>
      </c>
      <c r="B23" s="2" t="s">
        <v>569</v>
      </c>
      <c r="C23" s="2" t="s">
        <v>570</v>
      </c>
      <c r="D23" s="2" t="s">
        <v>571</v>
      </c>
      <c r="E23" s="2" t="s">
        <v>572</v>
      </c>
      <c r="F23" s="2" t="s">
        <v>368</v>
      </c>
      <c r="G23" s="2" t="s">
        <v>573</v>
      </c>
      <c r="H23" s="2" t="s">
        <v>574</v>
      </c>
      <c r="I23" s="2" t="s">
        <v>575</v>
      </c>
      <c r="J23" s="2" t="s">
        <v>576</v>
      </c>
      <c r="K23" s="2" t="s">
        <v>346</v>
      </c>
      <c r="L23" s="2" t="s">
        <v>384</v>
      </c>
      <c r="M23" s="2" t="s">
        <v>348</v>
      </c>
      <c r="N23" s="2" t="s">
        <v>349</v>
      </c>
      <c r="O23" s="2" t="s">
        <v>577</v>
      </c>
      <c r="P23" s="2" t="str">
        <f t="shared" si="0"/>
        <v>NO</v>
      </c>
      <c r="Q23" s="2" t="s">
        <v>351</v>
      </c>
      <c r="R23" s="2" t="s">
        <v>578</v>
      </c>
    </row>
    <row r="24" spans="1:18" ht="22.8">
      <c r="A24" s="2" t="s">
        <v>579</v>
      </c>
      <c r="B24" s="2" t="s">
        <v>569</v>
      </c>
      <c r="C24" s="2" t="s">
        <v>580</v>
      </c>
      <c r="D24" s="2" t="s">
        <v>581</v>
      </c>
      <c r="E24" s="2" t="s">
        <v>582</v>
      </c>
      <c r="F24" s="2" t="s">
        <v>368</v>
      </c>
      <c r="G24" s="2" t="s">
        <v>573</v>
      </c>
      <c r="H24" s="2" t="s">
        <v>583</v>
      </c>
      <c r="I24" s="2" t="s">
        <v>584</v>
      </c>
      <c r="J24" s="2" t="s">
        <v>585</v>
      </c>
      <c r="K24" s="2" t="s">
        <v>346</v>
      </c>
      <c r="L24" s="2" t="s">
        <v>384</v>
      </c>
      <c r="M24" s="2" t="s">
        <v>586</v>
      </c>
      <c r="N24" s="2" t="s">
        <v>349</v>
      </c>
      <c r="O24" s="2" t="s">
        <v>587</v>
      </c>
      <c r="P24" s="2" t="str">
        <f t="shared" si="0"/>
        <v>NO</v>
      </c>
      <c r="Q24" s="2" t="s">
        <v>36</v>
      </c>
      <c r="R24" s="2" t="s">
        <v>588</v>
      </c>
    </row>
    <row r="25" spans="1:18" ht="34.200000000000003">
      <c r="A25" s="2" t="s">
        <v>589</v>
      </c>
      <c r="B25" s="2" t="s">
        <v>569</v>
      </c>
      <c r="C25" s="2" t="s">
        <v>590</v>
      </c>
      <c r="D25" s="2" t="s">
        <v>591</v>
      </c>
      <c r="E25" s="2" t="s">
        <v>592</v>
      </c>
      <c r="F25" s="2" t="s">
        <v>368</v>
      </c>
      <c r="G25" s="2" t="s">
        <v>593</v>
      </c>
      <c r="H25" s="2" t="s">
        <v>562</v>
      </c>
      <c r="I25" s="2" t="s">
        <v>594</v>
      </c>
      <c r="J25" s="2" t="s">
        <v>595</v>
      </c>
      <c r="K25" s="2" t="s">
        <v>346</v>
      </c>
      <c r="L25" s="2" t="s">
        <v>596</v>
      </c>
      <c r="M25" s="2" t="s">
        <v>597</v>
      </c>
      <c r="N25" s="2" t="s">
        <v>349</v>
      </c>
      <c r="O25" s="2" t="s">
        <v>598</v>
      </c>
      <c r="P25" s="2" t="str">
        <f t="shared" si="0"/>
        <v>NO</v>
      </c>
      <c r="Q25" s="2" t="s">
        <v>507</v>
      </c>
      <c r="R25" s="2" t="s">
        <v>599</v>
      </c>
    </row>
    <row r="26" spans="1:18" ht="22.8">
      <c r="A26" s="2" t="s">
        <v>600</v>
      </c>
      <c r="B26" s="2" t="s">
        <v>569</v>
      </c>
      <c r="C26" s="2" t="s">
        <v>601</v>
      </c>
      <c r="D26" s="2" t="s">
        <v>602</v>
      </c>
      <c r="E26" s="2" t="s">
        <v>603</v>
      </c>
      <c r="F26" s="2" t="s">
        <v>368</v>
      </c>
      <c r="G26" s="2" t="s">
        <v>604</v>
      </c>
      <c r="H26" s="2" t="s">
        <v>605</v>
      </c>
      <c r="I26" s="2" t="s">
        <v>606</v>
      </c>
      <c r="J26" s="2" t="s">
        <v>607</v>
      </c>
      <c r="K26" s="2" t="s">
        <v>346</v>
      </c>
      <c r="L26" s="2" t="s">
        <v>384</v>
      </c>
      <c r="M26" s="2" t="s">
        <v>608</v>
      </c>
      <c r="N26" s="2" t="s">
        <v>349</v>
      </c>
      <c r="O26" s="2" t="s">
        <v>609</v>
      </c>
      <c r="P26" s="2" t="str">
        <f t="shared" si="0"/>
        <v>NO</v>
      </c>
      <c r="Q26" s="2" t="s">
        <v>543</v>
      </c>
      <c r="R26" s="2" t="s">
        <v>610</v>
      </c>
    </row>
    <row r="27" spans="1:18" ht="22.8">
      <c r="A27" s="2" t="s">
        <v>611</v>
      </c>
      <c r="B27" s="2" t="s">
        <v>569</v>
      </c>
      <c r="C27" s="2" t="s">
        <v>612</v>
      </c>
      <c r="D27" s="2" t="s">
        <v>613</v>
      </c>
      <c r="E27" s="2" t="s">
        <v>614</v>
      </c>
      <c r="F27" s="2" t="s">
        <v>615</v>
      </c>
      <c r="G27" s="2" t="s">
        <v>616</v>
      </c>
      <c r="H27" s="2" t="s">
        <v>617</v>
      </c>
      <c r="I27" s="2" t="s">
        <v>618</v>
      </c>
      <c r="J27" s="2" t="s">
        <v>619</v>
      </c>
      <c r="K27" s="2" t="s">
        <v>346</v>
      </c>
      <c r="L27" s="2" t="s">
        <v>384</v>
      </c>
      <c r="M27" s="2" t="s">
        <v>620</v>
      </c>
      <c r="N27" s="2" t="s">
        <v>349</v>
      </c>
      <c r="O27" s="2" t="s">
        <v>621</v>
      </c>
      <c r="P27" s="2" t="str">
        <f t="shared" si="0"/>
        <v>NO</v>
      </c>
      <c r="Q27" s="2" t="s">
        <v>622</v>
      </c>
      <c r="R27" s="2" t="s">
        <v>623</v>
      </c>
    </row>
    <row r="28" spans="1:18" ht="22.8">
      <c r="A28" s="2" t="s">
        <v>624</v>
      </c>
      <c r="B28" s="2" t="s">
        <v>569</v>
      </c>
      <c r="C28" s="2" t="s">
        <v>625</v>
      </c>
      <c r="D28" s="2" t="s">
        <v>626</v>
      </c>
      <c r="E28" s="2" t="s">
        <v>627</v>
      </c>
      <c r="F28" s="2" t="s">
        <v>628</v>
      </c>
      <c r="G28" s="2" t="s">
        <v>629</v>
      </c>
      <c r="H28" s="2" t="s">
        <v>630</v>
      </c>
      <c r="I28" s="2" t="s">
        <v>631</v>
      </c>
      <c r="J28" s="2" t="s">
        <v>632</v>
      </c>
      <c r="K28" s="2" t="s">
        <v>346</v>
      </c>
      <c r="L28" s="2" t="s">
        <v>596</v>
      </c>
      <c r="M28" s="2" t="s">
        <v>633</v>
      </c>
      <c r="N28" s="2" t="s">
        <v>349</v>
      </c>
      <c r="O28" s="2" t="s">
        <v>634</v>
      </c>
      <c r="P28" s="2" t="str">
        <f t="shared" si="0"/>
        <v>NO</v>
      </c>
      <c r="Q28" s="2" t="s">
        <v>32</v>
      </c>
      <c r="R28" s="2" t="s">
        <v>635</v>
      </c>
    </row>
    <row r="29" spans="1:18" ht="22.8">
      <c r="A29" s="2" t="s">
        <v>636</v>
      </c>
      <c r="B29" s="2" t="s">
        <v>569</v>
      </c>
      <c r="C29" s="2" t="s">
        <v>637</v>
      </c>
      <c r="D29" s="2" t="s">
        <v>638</v>
      </c>
      <c r="E29" s="2" t="s">
        <v>639</v>
      </c>
      <c r="F29" s="2" t="s">
        <v>640</v>
      </c>
      <c r="G29" s="2" t="s">
        <v>641</v>
      </c>
      <c r="H29" s="2" t="s">
        <v>642</v>
      </c>
      <c r="I29" s="2" t="s">
        <v>643</v>
      </c>
      <c r="J29" s="2" t="s">
        <v>644</v>
      </c>
      <c r="K29" s="2" t="s">
        <v>346</v>
      </c>
      <c r="L29" s="2" t="s">
        <v>384</v>
      </c>
      <c r="M29" s="2" t="s">
        <v>645</v>
      </c>
      <c r="N29" s="2" t="s">
        <v>349</v>
      </c>
      <c r="O29" s="2" t="s">
        <v>646</v>
      </c>
      <c r="P29" s="2" t="str">
        <f t="shared" si="0"/>
        <v>NO</v>
      </c>
      <c r="Q29" s="2" t="s">
        <v>126</v>
      </c>
      <c r="R29" s="2" t="s">
        <v>647</v>
      </c>
    </row>
    <row r="30" spans="1:18" ht="22.8">
      <c r="A30" s="2" t="s">
        <v>648</v>
      </c>
      <c r="B30" s="2" t="s">
        <v>569</v>
      </c>
      <c r="C30" s="2" t="s">
        <v>649</v>
      </c>
      <c r="D30" s="2" t="s">
        <v>650</v>
      </c>
      <c r="E30" s="2" t="s">
        <v>651</v>
      </c>
      <c r="F30" s="2" t="s">
        <v>368</v>
      </c>
      <c r="G30" s="2" t="s">
        <v>652</v>
      </c>
      <c r="H30" s="2" t="s">
        <v>653</v>
      </c>
      <c r="I30" s="2" t="s">
        <v>654</v>
      </c>
      <c r="J30" s="2" t="s">
        <v>655</v>
      </c>
      <c r="K30" s="2" t="s">
        <v>346</v>
      </c>
      <c r="L30" s="2" t="s">
        <v>384</v>
      </c>
      <c r="M30" s="2" t="s">
        <v>656</v>
      </c>
      <c r="N30" s="2" t="s">
        <v>349</v>
      </c>
      <c r="O30" s="2" t="s">
        <v>657</v>
      </c>
      <c r="P30" s="2" t="str">
        <f t="shared" si="0"/>
        <v>NO</v>
      </c>
      <c r="Q30" s="2" t="s">
        <v>470</v>
      </c>
      <c r="R30" s="2" t="s">
        <v>658</v>
      </c>
    </row>
    <row r="31" spans="1:18" ht="34.200000000000003">
      <c r="A31" s="2" t="s">
        <v>659</v>
      </c>
      <c r="B31" s="2" t="s">
        <v>569</v>
      </c>
      <c r="C31" s="2" t="s">
        <v>660</v>
      </c>
      <c r="D31" s="2" t="s">
        <v>661</v>
      </c>
      <c r="E31" s="2" t="s">
        <v>662</v>
      </c>
      <c r="F31" s="2" t="s">
        <v>663</v>
      </c>
      <c r="G31" s="2" t="s">
        <v>664</v>
      </c>
      <c r="H31" s="2" t="s">
        <v>665</v>
      </c>
      <c r="I31" s="2" t="s">
        <v>666</v>
      </c>
      <c r="J31" s="2" t="s">
        <v>667</v>
      </c>
      <c r="K31" s="2" t="s">
        <v>346</v>
      </c>
      <c r="L31" s="2" t="s">
        <v>397</v>
      </c>
      <c r="M31" s="2" t="s">
        <v>668</v>
      </c>
      <c r="N31" s="2" t="s">
        <v>349</v>
      </c>
      <c r="O31" s="2" t="s">
        <v>669</v>
      </c>
      <c r="P31" s="2" t="str">
        <f t="shared" si="0"/>
        <v>NO</v>
      </c>
      <c r="Q31" s="2" t="s">
        <v>41</v>
      </c>
      <c r="R31" s="2" t="s">
        <v>670</v>
      </c>
    </row>
    <row r="32" spans="1:18" ht="22.8">
      <c r="A32" s="2" t="s">
        <v>671</v>
      </c>
      <c r="B32" s="2" t="s">
        <v>569</v>
      </c>
      <c r="C32" s="2" t="s">
        <v>672</v>
      </c>
      <c r="D32" s="2" t="s">
        <v>673</v>
      </c>
      <c r="E32" s="2" t="s">
        <v>674</v>
      </c>
      <c r="F32" s="2" t="s">
        <v>417</v>
      </c>
      <c r="G32" s="2" t="s">
        <v>675</v>
      </c>
      <c r="H32" s="2" t="s">
        <v>676</v>
      </c>
      <c r="I32" s="2" t="s">
        <v>677</v>
      </c>
      <c r="J32" s="2" t="s">
        <v>678</v>
      </c>
      <c r="K32" s="2" t="s">
        <v>346</v>
      </c>
      <c r="L32" s="2" t="s">
        <v>384</v>
      </c>
      <c r="M32" s="2" t="s">
        <v>679</v>
      </c>
      <c r="N32" s="2" t="s">
        <v>349</v>
      </c>
      <c r="O32" s="2" t="s">
        <v>680</v>
      </c>
      <c r="P32" s="2" t="str">
        <f t="shared" si="0"/>
        <v>NO</v>
      </c>
      <c r="Q32" s="2" t="s">
        <v>222</v>
      </c>
      <c r="R32" s="2" t="s">
        <v>681</v>
      </c>
    </row>
    <row r="33" spans="1:18" ht="22.8">
      <c r="A33" s="2" t="s">
        <v>682</v>
      </c>
      <c r="B33" s="2" t="s">
        <v>569</v>
      </c>
      <c r="C33" s="2" t="s">
        <v>683</v>
      </c>
      <c r="D33" s="2" t="s">
        <v>684</v>
      </c>
      <c r="E33" s="2" t="s">
        <v>685</v>
      </c>
      <c r="F33" s="2" t="s">
        <v>686</v>
      </c>
      <c r="G33" s="2" t="s">
        <v>687</v>
      </c>
      <c r="H33" s="2" t="s">
        <v>688</v>
      </c>
      <c r="I33" s="2" t="s">
        <v>689</v>
      </c>
      <c r="J33" s="2" t="s">
        <v>690</v>
      </c>
      <c r="K33" s="2" t="s">
        <v>346</v>
      </c>
      <c r="L33" s="2" t="s">
        <v>384</v>
      </c>
      <c r="M33" s="2" t="s">
        <v>691</v>
      </c>
      <c r="N33" s="2" t="s">
        <v>349</v>
      </c>
      <c r="O33" s="2" t="s">
        <v>692</v>
      </c>
      <c r="P33" s="2" t="str">
        <f t="shared" si="0"/>
        <v>NO</v>
      </c>
      <c r="Q33" s="2" t="s">
        <v>41</v>
      </c>
      <c r="R33" s="2" t="s">
        <v>693</v>
      </c>
    </row>
    <row r="34" spans="1:18" ht="22.8">
      <c r="A34" s="2" t="s">
        <v>694</v>
      </c>
      <c r="B34" s="2" t="s">
        <v>569</v>
      </c>
      <c r="C34" s="2" t="s">
        <v>695</v>
      </c>
      <c r="D34" s="2" t="s">
        <v>696</v>
      </c>
      <c r="E34" s="2" t="s">
        <v>697</v>
      </c>
      <c r="F34" s="2" t="s">
        <v>368</v>
      </c>
      <c r="G34" s="2" t="s">
        <v>698</v>
      </c>
      <c r="H34" s="2" t="s">
        <v>699</v>
      </c>
      <c r="I34" s="2" t="s">
        <v>700</v>
      </c>
      <c r="J34" s="2" t="s">
        <v>701</v>
      </c>
      <c r="K34" s="2" t="s">
        <v>346</v>
      </c>
      <c r="L34" s="2" t="s">
        <v>384</v>
      </c>
      <c r="M34" s="2" t="s">
        <v>702</v>
      </c>
      <c r="N34" s="2" t="s">
        <v>349</v>
      </c>
      <c r="O34" s="2" t="s">
        <v>703</v>
      </c>
      <c r="P34" s="2" t="str">
        <f t="shared" si="0"/>
        <v>NO</v>
      </c>
      <c r="Q34" s="2" t="s">
        <v>276</v>
      </c>
      <c r="R34" s="2" t="s">
        <v>704</v>
      </c>
    </row>
    <row r="35" spans="1:18" ht="22.8">
      <c r="A35" s="2" t="s">
        <v>304</v>
      </c>
      <c r="B35" s="2" t="s">
        <v>569</v>
      </c>
      <c r="C35" s="2" t="s">
        <v>705</v>
      </c>
      <c r="D35" s="2" t="s">
        <v>706</v>
      </c>
      <c r="E35" s="2" t="s">
        <v>707</v>
      </c>
      <c r="F35" s="2" t="s">
        <v>708</v>
      </c>
      <c r="G35" s="2" t="s">
        <v>709</v>
      </c>
      <c r="H35" s="2" t="s">
        <v>710</v>
      </c>
      <c r="I35" s="2" t="s">
        <v>711</v>
      </c>
      <c r="J35" s="2" t="s">
        <v>712</v>
      </c>
      <c r="K35" s="2" t="s">
        <v>346</v>
      </c>
      <c r="L35" s="2" t="s">
        <v>713</v>
      </c>
      <c r="M35" s="2" t="s">
        <v>714</v>
      </c>
      <c r="N35" s="2" t="s">
        <v>349</v>
      </c>
      <c r="O35" s="2" t="s">
        <v>715</v>
      </c>
      <c r="P35" s="2" t="str">
        <f t="shared" si="0"/>
        <v>NO</v>
      </c>
      <c r="Q35" s="2" t="s">
        <v>716</v>
      </c>
      <c r="R35" s="2" t="s">
        <v>717</v>
      </c>
    </row>
    <row r="36" spans="1:18" ht="22.8">
      <c r="A36" s="2" t="s">
        <v>718</v>
      </c>
      <c r="B36" s="2" t="s">
        <v>569</v>
      </c>
      <c r="C36" s="2" t="s">
        <v>719</v>
      </c>
      <c r="D36" s="2" t="s">
        <v>720</v>
      </c>
      <c r="E36" s="2" t="s">
        <v>721</v>
      </c>
      <c r="F36" s="2" t="s">
        <v>722</v>
      </c>
      <c r="G36" s="2" t="s">
        <v>723</v>
      </c>
      <c r="H36" s="2" t="s">
        <v>724</v>
      </c>
      <c r="I36" s="2" t="s">
        <v>725</v>
      </c>
      <c r="J36" s="2" t="s">
        <v>726</v>
      </c>
      <c r="K36" s="2" t="s">
        <v>346</v>
      </c>
      <c r="L36" s="2" t="s">
        <v>713</v>
      </c>
      <c r="M36" s="2" t="s">
        <v>727</v>
      </c>
      <c r="N36" s="2" t="s">
        <v>349</v>
      </c>
      <c r="O36" s="2" t="s">
        <v>728</v>
      </c>
      <c r="P36" s="2" t="str">
        <f t="shared" si="0"/>
        <v>NO</v>
      </c>
      <c r="Q36" s="2" t="s">
        <v>400</v>
      </c>
      <c r="R36" s="2" t="s">
        <v>729</v>
      </c>
    </row>
    <row r="37" spans="1:18" ht="22.8">
      <c r="A37" s="2" t="s">
        <v>730</v>
      </c>
      <c r="B37" s="2" t="s">
        <v>569</v>
      </c>
      <c r="C37" s="2" t="s">
        <v>731</v>
      </c>
      <c r="D37" s="2" t="s">
        <v>732</v>
      </c>
      <c r="E37" s="2" t="s">
        <v>733</v>
      </c>
      <c r="F37" s="2" t="s">
        <v>734</v>
      </c>
      <c r="G37" s="2" t="s">
        <v>735</v>
      </c>
      <c r="H37" s="2" t="s">
        <v>736</v>
      </c>
      <c r="I37" s="2" t="s">
        <v>737</v>
      </c>
      <c r="J37" s="2" t="s">
        <v>738</v>
      </c>
      <c r="K37" s="2" t="s">
        <v>346</v>
      </c>
      <c r="L37" s="2" t="s">
        <v>397</v>
      </c>
      <c r="M37" s="2" t="s">
        <v>739</v>
      </c>
      <c r="N37" s="2" t="s">
        <v>349</v>
      </c>
      <c r="O37" s="2" t="s">
        <v>740</v>
      </c>
      <c r="P37" s="2" t="str">
        <f t="shared" si="0"/>
        <v>NO</v>
      </c>
      <c r="Q37" s="2" t="s">
        <v>741</v>
      </c>
      <c r="R37" s="2" t="s">
        <v>742</v>
      </c>
    </row>
    <row r="38" spans="1:18" ht="22.8">
      <c r="A38" s="2" t="s">
        <v>743</v>
      </c>
      <c r="B38" s="2" t="s">
        <v>744</v>
      </c>
      <c r="C38" s="2" t="s">
        <v>745</v>
      </c>
      <c r="D38" s="2" t="s">
        <v>746</v>
      </c>
      <c r="E38" s="2" t="s">
        <v>747</v>
      </c>
      <c r="F38" s="2" t="s">
        <v>748</v>
      </c>
      <c r="G38" s="2" t="s">
        <v>573</v>
      </c>
      <c r="H38" s="2" t="s">
        <v>749</v>
      </c>
      <c r="I38" s="2" t="s">
        <v>750</v>
      </c>
      <c r="J38" s="2" t="s">
        <v>751</v>
      </c>
      <c r="K38" s="2" t="s">
        <v>346</v>
      </c>
      <c r="L38" s="2" t="s">
        <v>713</v>
      </c>
      <c r="M38" s="2" t="s">
        <v>348</v>
      </c>
      <c r="N38" s="2" t="s">
        <v>349</v>
      </c>
      <c r="O38" s="2" t="s">
        <v>752</v>
      </c>
      <c r="P38" s="2" t="str">
        <f t="shared" si="0"/>
        <v>NO</v>
      </c>
      <c r="Q38" s="2" t="s">
        <v>351</v>
      </c>
      <c r="R38" s="2" t="s">
        <v>753</v>
      </c>
    </row>
    <row r="39" spans="1:18" ht="22.8">
      <c r="A39" s="2" t="s">
        <v>754</v>
      </c>
      <c r="B39" s="2" t="s">
        <v>744</v>
      </c>
      <c r="C39" s="2" t="s">
        <v>755</v>
      </c>
      <c r="D39" s="2" t="s">
        <v>756</v>
      </c>
      <c r="E39" s="2" t="s">
        <v>757</v>
      </c>
      <c r="F39" s="2" t="s">
        <v>758</v>
      </c>
      <c r="G39" s="2" t="s">
        <v>759</v>
      </c>
      <c r="H39" s="2" t="s">
        <v>760</v>
      </c>
      <c r="I39" s="2" t="s">
        <v>761</v>
      </c>
      <c r="J39" s="2" t="s">
        <v>762</v>
      </c>
      <c r="K39" s="2" t="s">
        <v>346</v>
      </c>
      <c r="L39" s="2" t="s">
        <v>397</v>
      </c>
      <c r="M39" s="2" t="s">
        <v>763</v>
      </c>
      <c r="N39" s="2" t="s">
        <v>349</v>
      </c>
      <c r="O39" s="2" t="s">
        <v>764</v>
      </c>
      <c r="P39" s="2" t="str">
        <f t="shared" si="0"/>
        <v>NO</v>
      </c>
      <c r="Q39" s="2" t="s">
        <v>41</v>
      </c>
      <c r="R39" s="2" t="s">
        <v>765</v>
      </c>
    </row>
    <row r="40" spans="1:18" ht="22.8">
      <c r="A40" s="2" t="s">
        <v>766</v>
      </c>
      <c r="B40" s="2" t="s">
        <v>744</v>
      </c>
      <c r="C40" s="2" t="s">
        <v>767</v>
      </c>
      <c r="D40" s="2" t="s">
        <v>768</v>
      </c>
      <c r="E40" s="2" t="s">
        <v>769</v>
      </c>
      <c r="F40" s="2" t="s">
        <v>770</v>
      </c>
      <c r="G40" s="2" t="s">
        <v>771</v>
      </c>
      <c r="H40" s="2" t="s">
        <v>772</v>
      </c>
      <c r="I40" s="2" t="s">
        <v>773</v>
      </c>
      <c r="J40" s="2" t="s">
        <v>774</v>
      </c>
      <c r="K40" s="2" t="s">
        <v>346</v>
      </c>
      <c r="L40" s="2" t="s">
        <v>347</v>
      </c>
      <c r="M40" s="2" t="s">
        <v>348</v>
      </c>
      <c r="N40" s="2" t="s">
        <v>349</v>
      </c>
      <c r="O40" s="2" t="s">
        <v>775</v>
      </c>
      <c r="P40" s="2" t="str">
        <f t="shared" si="0"/>
        <v>NO</v>
      </c>
      <c r="Q40" s="2" t="s">
        <v>222</v>
      </c>
      <c r="R40" s="2" t="s">
        <v>776</v>
      </c>
    </row>
    <row r="41" spans="1:18" ht="34.200000000000003">
      <c r="A41" s="2" t="s">
        <v>777</v>
      </c>
      <c r="B41" s="2" t="s">
        <v>744</v>
      </c>
      <c r="C41" s="2" t="s">
        <v>778</v>
      </c>
      <c r="D41" s="2" t="s">
        <v>779</v>
      </c>
      <c r="E41" s="2" t="s">
        <v>780</v>
      </c>
      <c r="F41" s="2" t="s">
        <v>781</v>
      </c>
      <c r="G41" s="2" t="s">
        <v>573</v>
      </c>
      <c r="H41" s="2" t="s">
        <v>782</v>
      </c>
      <c r="I41" s="2" t="s">
        <v>783</v>
      </c>
      <c r="J41" s="2" t="s">
        <v>784</v>
      </c>
      <c r="K41" s="2" t="s">
        <v>346</v>
      </c>
      <c r="L41" s="2" t="s">
        <v>713</v>
      </c>
      <c r="M41" s="2" t="s">
        <v>785</v>
      </c>
      <c r="N41" s="2" t="s">
        <v>349</v>
      </c>
      <c r="O41" s="2" t="s">
        <v>786</v>
      </c>
      <c r="P41" s="2" t="str">
        <f t="shared" si="0"/>
        <v>NO</v>
      </c>
      <c r="Q41" s="2" t="s">
        <v>36</v>
      </c>
      <c r="R41" s="2" t="s">
        <v>787</v>
      </c>
    </row>
    <row r="42" spans="1:18" ht="22.8">
      <c r="A42" s="2" t="s">
        <v>788</v>
      </c>
      <c r="B42" s="2" t="s">
        <v>744</v>
      </c>
      <c r="C42" s="2" t="s">
        <v>789</v>
      </c>
      <c r="D42" s="2" t="s">
        <v>790</v>
      </c>
      <c r="E42" s="2" t="s">
        <v>791</v>
      </c>
      <c r="F42" s="2" t="s">
        <v>792</v>
      </c>
      <c r="G42" s="2" t="s">
        <v>793</v>
      </c>
      <c r="H42" s="2" t="s">
        <v>794</v>
      </c>
      <c r="I42" s="2" t="s">
        <v>795</v>
      </c>
      <c r="J42" s="2" t="s">
        <v>796</v>
      </c>
      <c r="K42" s="2" t="s">
        <v>346</v>
      </c>
      <c r="L42" s="2" t="s">
        <v>397</v>
      </c>
      <c r="M42" s="2" t="s">
        <v>797</v>
      </c>
      <c r="N42" s="2" t="s">
        <v>349</v>
      </c>
      <c r="O42" s="2" t="s">
        <v>798</v>
      </c>
      <c r="P42" s="2" t="str">
        <f t="shared" si="0"/>
        <v>NO</v>
      </c>
      <c r="Q42" s="2" t="s">
        <v>470</v>
      </c>
      <c r="R42" s="2" t="s">
        <v>799</v>
      </c>
    </row>
    <row r="43" spans="1:18" ht="22.8">
      <c r="A43" s="2" t="s">
        <v>800</v>
      </c>
      <c r="B43" s="2" t="s">
        <v>744</v>
      </c>
      <c r="C43" s="2" t="s">
        <v>801</v>
      </c>
      <c r="D43" s="2" t="s">
        <v>802</v>
      </c>
      <c r="E43" s="2" t="s">
        <v>803</v>
      </c>
      <c r="F43" s="2" t="s">
        <v>804</v>
      </c>
      <c r="G43" s="2" t="s">
        <v>805</v>
      </c>
      <c r="H43" s="2" t="s">
        <v>806</v>
      </c>
      <c r="I43" s="2" t="s">
        <v>807</v>
      </c>
      <c r="J43" s="2" t="s">
        <v>808</v>
      </c>
      <c r="K43" s="2" t="s">
        <v>346</v>
      </c>
      <c r="L43" s="2" t="s">
        <v>397</v>
      </c>
      <c r="M43" s="2" t="s">
        <v>809</v>
      </c>
      <c r="N43" s="2" t="s">
        <v>349</v>
      </c>
      <c r="O43" s="2" t="s">
        <v>810</v>
      </c>
      <c r="P43" s="2" t="str">
        <f t="shared" si="0"/>
        <v>NO</v>
      </c>
      <c r="Q43" s="2" t="s">
        <v>41</v>
      </c>
      <c r="R43" s="2" t="s">
        <v>811</v>
      </c>
    </row>
    <row r="44" spans="1:18" ht="22.8">
      <c r="A44" s="2" t="s">
        <v>812</v>
      </c>
      <c r="B44" s="2" t="s">
        <v>744</v>
      </c>
      <c r="C44" s="2" t="s">
        <v>813</v>
      </c>
      <c r="D44" s="2" t="s">
        <v>814</v>
      </c>
      <c r="E44" s="2" t="s">
        <v>815</v>
      </c>
      <c r="F44" s="2" t="s">
        <v>816</v>
      </c>
      <c r="G44" s="2" t="s">
        <v>817</v>
      </c>
      <c r="H44" s="2" t="s">
        <v>818</v>
      </c>
      <c r="I44" s="2" t="s">
        <v>819</v>
      </c>
      <c r="J44" s="2" t="s">
        <v>820</v>
      </c>
      <c r="K44" s="2" t="s">
        <v>346</v>
      </c>
      <c r="L44" s="2" t="s">
        <v>384</v>
      </c>
      <c r="M44" s="2" t="s">
        <v>821</v>
      </c>
      <c r="N44" s="2" t="s">
        <v>349</v>
      </c>
      <c r="O44" s="2" t="s">
        <v>822</v>
      </c>
      <c r="P44" s="2" t="str">
        <f t="shared" si="0"/>
        <v>NO</v>
      </c>
      <c r="Q44" s="2" t="s">
        <v>823</v>
      </c>
      <c r="R44" s="2" t="s">
        <v>824</v>
      </c>
    </row>
    <row r="45" spans="1:18" ht="22.8">
      <c r="A45" s="2" t="s">
        <v>825</v>
      </c>
      <c r="B45" s="2" t="s">
        <v>744</v>
      </c>
      <c r="C45" s="2" t="s">
        <v>826</v>
      </c>
      <c r="D45" s="2" t="s">
        <v>827</v>
      </c>
      <c r="E45" s="2" t="s">
        <v>828</v>
      </c>
      <c r="F45" s="2" t="s">
        <v>829</v>
      </c>
      <c r="G45" s="2" t="s">
        <v>830</v>
      </c>
      <c r="H45" s="2" t="s">
        <v>831</v>
      </c>
      <c r="I45" s="2" t="s">
        <v>832</v>
      </c>
      <c r="J45" s="2" t="s">
        <v>833</v>
      </c>
      <c r="K45" s="2" t="s">
        <v>346</v>
      </c>
      <c r="L45" s="2" t="s">
        <v>713</v>
      </c>
      <c r="M45" s="2" t="s">
        <v>834</v>
      </c>
      <c r="N45" s="2" t="s">
        <v>349</v>
      </c>
      <c r="O45" s="2" t="s">
        <v>835</v>
      </c>
      <c r="P45" s="2" t="str">
        <f t="shared" si="0"/>
        <v>NO</v>
      </c>
      <c r="Q45" s="2" t="s">
        <v>400</v>
      </c>
      <c r="R45" s="2" t="s">
        <v>836</v>
      </c>
    </row>
    <row r="46" spans="1:18" ht="22.8">
      <c r="A46" s="2" t="s">
        <v>837</v>
      </c>
      <c r="B46" s="2" t="s">
        <v>744</v>
      </c>
      <c r="C46" s="2" t="s">
        <v>838</v>
      </c>
      <c r="D46" s="2" t="s">
        <v>839</v>
      </c>
      <c r="E46" s="2" t="s">
        <v>840</v>
      </c>
      <c r="F46" s="2" t="s">
        <v>841</v>
      </c>
      <c r="G46" s="2" t="s">
        <v>842</v>
      </c>
      <c r="H46" s="2" t="s">
        <v>843</v>
      </c>
      <c r="I46" s="2" t="s">
        <v>844</v>
      </c>
      <c r="J46" s="2" t="s">
        <v>845</v>
      </c>
      <c r="K46" s="2" t="s">
        <v>346</v>
      </c>
      <c r="L46" s="2" t="s">
        <v>397</v>
      </c>
      <c r="M46" s="2" t="s">
        <v>846</v>
      </c>
      <c r="N46" s="2" t="s">
        <v>349</v>
      </c>
      <c r="O46" s="2" t="s">
        <v>847</v>
      </c>
      <c r="P46" s="2" t="str">
        <f t="shared" si="0"/>
        <v>NO</v>
      </c>
      <c r="Q46" s="2" t="s">
        <v>741</v>
      </c>
      <c r="R46" s="2" t="s">
        <v>848</v>
      </c>
    </row>
    <row r="47" spans="1:18" ht="22.8">
      <c r="A47" s="2" t="s">
        <v>849</v>
      </c>
      <c r="B47" s="2" t="s">
        <v>744</v>
      </c>
      <c r="C47" s="2" t="s">
        <v>850</v>
      </c>
      <c r="D47" s="2" t="s">
        <v>851</v>
      </c>
      <c r="E47" s="2" t="s">
        <v>852</v>
      </c>
      <c r="F47" s="2" t="s">
        <v>734</v>
      </c>
      <c r="G47" s="2" t="s">
        <v>853</v>
      </c>
      <c r="H47" s="2" t="s">
        <v>854</v>
      </c>
      <c r="I47" s="2" t="s">
        <v>855</v>
      </c>
      <c r="J47" s="2" t="s">
        <v>856</v>
      </c>
      <c r="K47" s="2" t="s">
        <v>346</v>
      </c>
      <c r="L47" s="2" t="s">
        <v>397</v>
      </c>
      <c r="M47" s="2" t="s">
        <v>857</v>
      </c>
      <c r="N47" s="2" t="s">
        <v>349</v>
      </c>
      <c r="O47" s="2" t="s">
        <v>858</v>
      </c>
      <c r="P47" s="2" t="str">
        <f t="shared" si="0"/>
        <v>NO</v>
      </c>
      <c r="Q47" s="2" t="s">
        <v>859</v>
      </c>
      <c r="R47" s="2" t="s">
        <v>860</v>
      </c>
    </row>
  </sheetData>
  <mergeCells count="2">
    <mergeCell ref="A1:R1"/>
    <mergeCell ref="A2:R2"/>
  </mergeCells>
  <conditionalFormatting sqref="N4:N200">
    <cfRule type="cellIs" dxfId="52" priority="3" operator="equal">
      <formula>"Accepted"</formula>
    </cfRule>
    <cfRule type="cellIs" dxfId="51" priority="4" operator="equal">
      <formula>"Accepted with ongoing control"</formula>
    </cfRule>
    <cfRule type="cellIs" dxfId="50" priority="5" operator="equal">
      <formula>"Accepted after correction"</formula>
    </cfRule>
    <cfRule type="cellIs" dxfId="49" priority="6" operator="equal">
      <formula>"Superseded by approved decision"</formula>
    </cfRule>
    <cfRule type="cellIs" dxfId="48" priority="7" operator="equal">
      <formula>"Not applicable by approved Plan B or other decision"</formula>
    </cfRule>
    <cfRule type="cellIs" dxfId="47" priority="8" operator="equal">
      <formula>"Pending"</formula>
    </cfRule>
  </conditionalFormatting>
  <conditionalFormatting sqref="P4:P200">
    <cfRule type="cellIs" dxfId="46" priority="1" operator="equal">
      <formula>"YES"</formula>
    </cfRule>
    <cfRule type="cellIs" dxfId="45" priority="2" operator="equal">
      <formula>"NO"</formula>
    </cfRule>
  </conditionalFormatting>
  <dataValidations count="1">
    <dataValidation type="list" showErrorMessage="1" errorTitle="Invalid control final state" error="Choose a value from the control final state drop-down list." sqref="N4:N200" xr:uid="{00000000-0002-0000-0200-000000000000}">
      <formula1>"Pending,Accepted,Accepted with ongoing control,Accepted after correction,Superseded by approved decision,Not applicable by approved Plan B or other decision"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
  <sheetViews>
    <sheetView showGridLines="0" workbookViewId="0">
      <pane xSplit="2" ySplit="3" topLeftCell="C4" activePane="bottomRight" state="frozenSplit"/>
      <selection pane="bottomLeft" activeCell="A4" sqref="A4"/>
      <selection pane="topRight" activeCell="C1" sqref="C1"/>
      <selection pane="bottomRight" sqref="A1:H1"/>
    </sheetView>
  </sheetViews>
  <sheetFormatPr defaultRowHeight="13.8"/>
  <cols>
    <col min="1" max="1" width="20" customWidth="1"/>
    <col min="2" max="2" width="18" customWidth="1"/>
    <col min="3" max="3" width="38" customWidth="1"/>
    <col min="4" max="4" width="48" customWidth="1"/>
    <col min="5" max="5" width="28" customWidth="1"/>
    <col min="6" max="6" width="58" customWidth="1"/>
    <col min="7" max="7" width="46" customWidth="1"/>
    <col min="8" max="8" width="58" customWidth="1"/>
  </cols>
  <sheetData>
    <row r="1" spans="1:8" ht="30" customHeight="1">
      <c r="A1" s="28" t="s">
        <v>861</v>
      </c>
      <c r="B1" s="28"/>
      <c r="C1" s="28"/>
      <c r="D1" s="28"/>
      <c r="E1" s="28"/>
      <c r="F1" s="28"/>
      <c r="G1" s="28"/>
      <c r="H1" s="28"/>
    </row>
    <row r="2" spans="1:8" ht="34.049999999999997" customHeight="1">
      <c r="A2" s="29" t="s">
        <v>862</v>
      </c>
      <c r="B2" s="29"/>
      <c r="C2" s="29"/>
      <c r="D2" s="29"/>
      <c r="E2" s="29"/>
      <c r="F2" s="29"/>
      <c r="G2" s="29"/>
      <c r="H2" s="29"/>
    </row>
    <row r="3" spans="1:8" ht="31.95" customHeight="1">
      <c r="A3" s="1" t="s">
        <v>863</v>
      </c>
      <c r="B3" s="1" t="s">
        <v>864</v>
      </c>
      <c r="C3" s="1" t="s">
        <v>865</v>
      </c>
      <c r="D3" s="1" t="s">
        <v>866</v>
      </c>
      <c r="E3" s="1" t="s">
        <v>867</v>
      </c>
      <c r="F3" s="1" t="s">
        <v>868</v>
      </c>
      <c r="G3" s="1" t="s">
        <v>869</v>
      </c>
      <c r="H3" s="1" t="s">
        <v>870</v>
      </c>
    </row>
    <row r="4" spans="1:8" ht="22.8">
      <c r="A4" s="2" t="s">
        <v>871</v>
      </c>
      <c r="B4" s="2" t="s">
        <v>872</v>
      </c>
      <c r="C4" s="2" t="s">
        <v>873</v>
      </c>
      <c r="D4" s="2" t="s">
        <v>874</v>
      </c>
      <c r="E4" s="2" t="s">
        <v>875</v>
      </c>
      <c r="F4" s="2" t="s">
        <v>876</v>
      </c>
      <c r="G4" s="2" t="s">
        <v>877</v>
      </c>
      <c r="H4" s="2" t="s">
        <v>878</v>
      </c>
    </row>
    <row r="5" spans="1:8" ht="22.8">
      <c r="A5" s="2" t="s">
        <v>871</v>
      </c>
      <c r="B5" s="2" t="s">
        <v>879</v>
      </c>
      <c r="C5" s="2" t="s">
        <v>880</v>
      </c>
      <c r="D5" s="2" t="s">
        <v>881</v>
      </c>
      <c r="E5" s="2" t="s">
        <v>20</v>
      </c>
      <c r="F5" s="2" t="s">
        <v>876</v>
      </c>
      <c r="G5" s="2" t="s">
        <v>882</v>
      </c>
      <c r="H5" s="2" t="s">
        <v>883</v>
      </c>
    </row>
    <row r="6" spans="1:8" ht="22.8">
      <c r="A6" s="2" t="s">
        <v>871</v>
      </c>
      <c r="B6" s="2" t="s">
        <v>209</v>
      </c>
      <c r="C6" s="2" t="s">
        <v>884</v>
      </c>
      <c r="D6" s="2" t="s">
        <v>885</v>
      </c>
      <c r="E6" s="2" t="s">
        <v>886</v>
      </c>
      <c r="F6" s="2" t="s">
        <v>876</v>
      </c>
      <c r="G6" s="2" t="s">
        <v>887</v>
      </c>
      <c r="H6" s="2" t="s">
        <v>888</v>
      </c>
    </row>
    <row r="7" spans="1:8" ht="22.8">
      <c r="A7" s="2" t="s">
        <v>871</v>
      </c>
      <c r="B7" s="2" t="s">
        <v>889</v>
      </c>
      <c r="C7" s="2" t="s">
        <v>890</v>
      </c>
      <c r="D7" s="2" t="s">
        <v>891</v>
      </c>
      <c r="E7" s="2" t="s">
        <v>126</v>
      </c>
      <c r="F7" s="2" t="s">
        <v>876</v>
      </c>
      <c r="G7" s="2" t="s">
        <v>892</v>
      </c>
      <c r="H7" s="2" t="s">
        <v>893</v>
      </c>
    </row>
    <row r="8" spans="1:8" ht="22.8">
      <c r="A8" s="2" t="s">
        <v>871</v>
      </c>
      <c r="B8" s="2" t="s">
        <v>894</v>
      </c>
      <c r="C8" s="2" t="s">
        <v>895</v>
      </c>
      <c r="D8" s="2" t="s">
        <v>896</v>
      </c>
      <c r="E8" s="2" t="s">
        <v>11</v>
      </c>
      <c r="F8" s="2" t="s">
        <v>876</v>
      </c>
      <c r="G8" s="2" t="s">
        <v>897</v>
      </c>
      <c r="H8" s="2" t="s">
        <v>898</v>
      </c>
    </row>
    <row r="9" spans="1:8" ht="22.8">
      <c r="A9" s="2" t="s">
        <v>871</v>
      </c>
      <c r="B9" s="2" t="s">
        <v>80</v>
      </c>
      <c r="C9" s="2" t="s">
        <v>899</v>
      </c>
      <c r="D9" s="2" t="s">
        <v>900</v>
      </c>
      <c r="E9" s="2" t="s">
        <v>901</v>
      </c>
      <c r="F9" s="2" t="s">
        <v>876</v>
      </c>
      <c r="G9" s="2" t="s">
        <v>902</v>
      </c>
      <c r="H9" s="2" t="s">
        <v>903</v>
      </c>
    </row>
    <row r="10" spans="1:8" ht="22.8">
      <c r="A10" s="2" t="s">
        <v>871</v>
      </c>
      <c r="B10" s="2" t="s">
        <v>904</v>
      </c>
      <c r="C10" s="2" t="s">
        <v>905</v>
      </c>
      <c r="D10" s="2" t="s">
        <v>906</v>
      </c>
      <c r="E10" s="2" t="s">
        <v>11</v>
      </c>
      <c r="F10" s="2" t="s">
        <v>876</v>
      </c>
      <c r="G10" s="2" t="s">
        <v>907</v>
      </c>
      <c r="H10" s="2" t="s">
        <v>908</v>
      </c>
    </row>
    <row r="11" spans="1:8" ht="22.8">
      <c r="A11" s="2" t="s">
        <v>871</v>
      </c>
      <c r="B11" s="2" t="s">
        <v>113</v>
      </c>
      <c r="C11" s="2" t="s">
        <v>909</v>
      </c>
      <c r="D11" s="2" t="s">
        <v>910</v>
      </c>
      <c r="E11" s="2" t="s">
        <v>911</v>
      </c>
      <c r="F11" s="2" t="s">
        <v>876</v>
      </c>
      <c r="G11" s="2" t="s">
        <v>912</v>
      </c>
      <c r="H11" s="2" t="s">
        <v>913</v>
      </c>
    </row>
    <row r="12" spans="1:8" ht="22.8">
      <c r="A12" s="2" t="s">
        <v>871</v>
      </c>
      <c r="B12" s="2" t="s">
        <v>121</v>
      </c>
      <c r="C12" s="2" t="s">
        <v>914</v>
      </c>
      <c r="D12" s="2" t="s">
        <v>915</v>
      </c>
      <c r="E12" s="2" t="s">
        <v>495</v>
      </c>
      <c r="F12" s="2" t="s">
        <v>876</v>
      </c>
      <c r="G12" s="2" t="s">
        <v>916</v>
      </c>
      <c r="H12" s="2" t="s">
        <v>917</v>
      </c>
    </row>
    <row r="13" spans="1:8" ht="22.8">
      <c r="A13" s="2" t="s">
        <v>871</v>
      </c>
      <c r="B13" s="2" t="s">
        <v>312</v>
      </c>
      <c r="C13" s="2" t="s">
        <v>918</v>
      </c>
      <c r="D13" s="2" t="s">
        <v>919</v>
      </c>
      <c r="E13" s="2" t="s">
        <v>309</v>
      </c>
      <c r="F13" s="2" t="s">
        <v>876</v>
      </c>
      <c r="G13" s="2" t="s">
        <v>920</v>
      </c>
      <c r="H13" s="2" t="s">
        <v>921</v>
      </c>
    </row>
    <row r="14" spans="1:8" ht="22.8">
      <c r="A14" s="2" t="s">
        <v>922</v>
      </c>
      <c r="B14" s="2" t="s">
        <v>923</v>
      </c>
      <c r="C14" s="2" t="s">
        <v>924</v>
      </c>
      <c r="D14" s="2" t="s">
        <v>925</v>
      </c>
      <c r="E14" s="2" t="s">
        <v>926</v>
      </c>
      <c r="F14" s="2" t="s">
        <v>923</v>
      </c>
      <c r="G14" s="2" t="s">
        <v>927</v>
      </c>
      <c r="H14" s="2" t="s">
        <v>928</v>
      </c>
    </row>
    <row r="15" spans="1:8" ht="22.8">
      <c r="A15" s="2" t="s">
        <v>922</v>
      </c>
      <c r="B15" s="2" t="s">
        <v>164</v>
      </c>
      <c r="C15" s="2" t="s">
        <v>929</v>
      </c>
      <c r="D15" s="2" t="s">
        <v>930</v>
      </c>
      <c r="E15" s="2" t="s">
        <v>931</v>
      </c>
      <c r="F15" s="2" t="s">
        <v>164</v>
      </c>
      <c r="G15" s="2" t="s">
        <v>932</v>
      </c>
      <c r="H15" s="2" t="s">
        <v>928</v>
      </c>
    </row>
    <row r="16" spans="1:8" ht="22.8">
      <c r="A16" s="2" t="s">
        <v>922</v>
      </c>
      <c r="B16" s="2" t="s">
        <v>933</v>
      </c>
      <c r="C16" s="2" t="s">
        <v>934</v>
      </c>
      <c r="D16" s="2" t="s">
        <v>925</v>
      </c>
      <c r="E16" s="2" t="s">
        <v>926</v>
      </c>
      <c r="F16" s="2" t="s">
        <v>933</v>
      </c>
      <c r="G16" s="2" t="s">
        <v>935</v>
      </c>
      <c r="H16" s="2" t="s">
        <v>928</v>
      </c>
    </row>
    <row r="17" spans="1:8" ht="22.8">
      <c r="A17" s="2" t="s">
        <v>922</v>
      </c>
      <c r="B17" s="2" t="s">
        <v>936</v>
      </c>
      <c r="C17" s="2" t="s">
        <v>937</v>
      </c>
      <c r="D17" s="2" t="s">
        <v>938</v>
      </c>
      <c r="E17" s="2" t="s">
        <v>177</v>
      </c>
      <c r="F17" s="2" t="s">
        <v>936</v>
      </c>
      <c r="G17" s="2" t="s">
        <v>939</v>
      </c>
      <c r="H17" s="2" t="s">
        <v>928</v>
      </c>
    </row>
    <row r="18" spans="1:8" ht="22.8">
      <c r="A18" s="2" t="s">
        <v>922</v>
      </c>
      <c r="B18" s="2" t="s">
        <v>940</v>
      </c>
      <c r="C18" s="2" t="s">
        <v>941</v>
      </c>
      <c r="D18" s="2" t="s">
        <v>938</v>
      </c>
      <c r="E18" s="2" t="s">
        <v>177</v>
      </c>
      <c r="F18" s="2" t="s">
        <v>940</v>
      </c>
      <c r="G18" s="2" t="s">
        <v>942</v>
      </c>
      <c r="H18" s="2" t="s">
        <v>928</v>
      </c>
    </row>
    <row r="19" spans="1:8" ht="22.8">
      <c r="A19" s="2" t="s">
        <v>922</v>
      </c>
      <c r="B19" s="2" t="s">
        <v>199</v>
      </c>
      <c r="C19" s="2" t="s">
        <v>943</v>
      </c>
      <c r="D19" s="2" t="s">
        <v>944</v>
      </c>
      <c r="E19" s="2" t="s">
        <v>196</v>
      </c>
      <c r="F19" s="2" t="s">
        <v>199</v>
      </c>
      <c r="G19" s="2" t="s">
        <v>945</v>
      </c>
      <c r="H19" s="2" t="s">
        <v>928</v>
      </c>
    </row>
    <row r="20" spans="1:8" ht="22.8">
      <c r="A20" s="2" t="s">
        <v>922</v>
      </c>
      <c r="B20" s="2" t="s">
        <v>234</v>
      </c>
      <c r="C20" s="2" t="s">
        <v>946</v>
      </c>
      <c r="D20" s="2" t="s">
        <v>947</v>
      </c>
      <c r="E20" s="2" t="s">
        <v>231</v>
      </c>
      <c r="F20" s="2" t="s">
        <v>234</v>
      </c>
      <c r="G20" s="2" t="s">
        <v>948</v>
      </c>
      <c r="H20" s="2" t="s">
        <v>928</v>
      </c>
    </row>
    <row r="21" spans="1:8" ht="22.8">
      <c r="A21" s="2" t="s">
        <v>922</v>
      </c>
      <c r="B21" s="2" t="s">
        <v>244</v>
      </c>
      <c r="C21" s="2" t="s">
        <v>949</v>
      </c>
      <c r="D21" s="2" t="s">
        <v>950</v>
      </c>
      <c r="E21" s="2" t="s">
        <v>239</v>
      </c>
      <c r="F21" s="2" t="s">
        <v>244</v>
      </c>
      <c r="G21" s="2" t="s">
        <v>951</v>
      </c>
      <c r="H21" s="2" t="s">
        <v>928</v>
      </c>
    </row>
    <row r="22" spans="1:8" ht="22.8">
      <c r="A22" s="2" t="s">
        <v>922</v>
      </c>
      <c r="B22" s="2" t="s">
        <v>952</v>
      </c>
      <c r="C22" s="2" t="s">
        <v>953</v>
      </c>
      <c r="D22" s="2" t="s">
        <v>954</v>
      </c>
      <c r="E22" s="2" t="s">
        <v>249</v>
      </c>
      <c r="F22" s="2" t="s">
        <v>952</v>
      </c>
      <c r="G22" s="2" t="s">
        <v>955</v>
      </c>
      <c r="H22" s="2" t="s">
        <v>928</v>
      </c>
    </row>
    <row r="23" spans="1:8" ht="22.8">
      <c r="A23" s="2" t="s">
        <v>922</v>
      </c>
      <c r="B23" s="2" t="s">
        <v>956</v>
      </c>
      <c r="C23" s="2" t="s">
        <v>957</v>
      </c>
      <c r="D23" s="2" t="s">
        <v>954</v>
      </c>
      <c r="E23" s="2" t="s">
        <v>249</v>
      </c>
      <c r="F23" s="2" t="s">
        <v>956</v>
      </c>
      <c r="G23" s="2" t="s">
        <v>958</v>
      </c>
      <c r="H23" s="2" t="s">
        <v>928</v>
      </c>
    </row>
    <row r="24" spans="1:8" ht="45.6">
      <c r="A24" s="2" t="s">
        <v>959</v>
      </c>
      <c r="B24" s="2" t="s">
        <v>960</v>
      </c>
      <c r="C24" s="2" t="s">
        <v>961</v>
      </c>
      <c r="D24" s="2" t="s">
        <v>962</v>
      </c>
      <c r="E24" s="2" t="s">
        <v>963</v>
      </c>
      <c r="F24" s="2" t="s">
        <v>964</v>
      </c>
      <c r="G24" s="2" t="s">
        <v>965</v>
      </c>
      <c r="H24" s="2" t="s">
        <v>966</v>
      </c>
    </row>
    <row r="25" spans="1:8" ht="34.200000000000003">
      <c r="A25" s="2" t="s">
        <v>959</v>
      </c>
      <c r="B25" s="2" t="s">
        <v>967</v>
      </c>
      <c r="C25" s="2" t="s">
        <v>968</v>
      </c>
      <c r="D25" s="2" t="s">
        <v>969</v>
      </c>
      <c r="E25" s="2" t="s">
        <v>963</v>
      </c>
      <c r="F25" s="2" t="s">
        <v>970</v>
      </c>
      <c r="G25" s="2" t="s">
        <v>965</v>
      </c>
      <c r="H25" s="2" t="s">
        <v>966</v>
      </c>
    </row>
    <row r="26" spans="1:8" ht="34.200000000000003">
      <c r="A26" s="2" t="s">
        <v>959</v>
      </c>
      <c r="B26" s="2" t="s">
        <v>971</v>
      </c>
      <c r="C26" s="2" t="s">
        <v>972</v>
      </c>
      <c r="D26" s="2" t="s">
        <v>973</v>
      </c>
      <c r="E26" s="2" t="s">
        <v>963</v>
      </c>
      <c r="F26" s="2" t="s">
        <v>974</v>
      </c>
      <c r="G26" s="2" t="s">
        <v>965</v>
      </c>
      <c r="H26" s="2" t="s">
        <v>966</v>
      </c>
    </row>
    <row r="27" spans="1:8" ht="34.200000000000003">
      <c r="A27" s="2" t="s">
        <v>959</v>
      </c>
      <c r="B27" s="2" t="s">
        <v>975</v>
      </c>
      <c r="C27" s="2" t="s">
        <v>976</v>
      </c>
      <c r="D27" s="2" t="s">
        <v>977</v>
      </c>
      <c r="E27" s="2" t="s">
        <v>963</v>
      </c>
      <c r="F27" s="2" t="s">
        <v>978</v>
      </c>
      <c r="G27" s="2" t="s">
        <v>965</v>
      </c>
      <c r="H27" s="2" t="s">
        <v>966</v>
      </c>
    </row>
    <row r="28" spans="1:8" ht="57">
      <c r="A28" s="2" t="s">
        <v>959</v>
      </c>
      <c r="B28" s="2" t="s">
        <v>979</v>
      </c>
      <c r="C28" s="2" t="s">
        <v>980</v>
      </c>
      <c r="D28" s="2" t="s">
        <v>981</v>
      </c>
      <c r="E28" s="2" t="s">
        <v>963</v>
      </c>
      <c r="F28" s="2" t="s">
        <v>982</v>
      </c>
      <c r="G28" s="2" t="s">
        <v>965</v>
      </c>
      <c r="H28" s="2" t="s">
        <v>966</v>
      </c>
    </row>
    <row r="29" spans="1:8" ht="34.200000000000003">
      <c r="A29" s="2" t="s">
        <v>959</v>
      </c>
      <c r="B29" s="2" t="s">
        <v>983</v>
      </c>
      <c r="C29" s="2" t="s">
        <v>984</v>
      </c>
      <c r="D29" s="2" t="s">
        <v>985</v>
      </c>
      <c r="E29" s="2" t="s">
        <v>963</v>
      </c>
      <c r="F29" s="2" t="s">
        <v>986</v>
      </c>
      <c r="G29" s="2" t="s">
        <v>965</v>
      </c>
      <c r="H29" s="2" t="s">
        <v>966</v>
      </c>
    </row>
  </sheetData>
  <mergeCells count="2">
    <mergeCell ref="A1:H1"/>
    <mergeCell ref="A2:H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2"/>
  <sheetViews>
    <sheetView showGridLines="0" workbookViewId="0">
      <pane xSplit="2" ySplit="3" topLeftCell="C4" activePane="bottomRight" state="frozenSplit"/>
      <selection pane="bottomLeft" activeCell="A4" sqref="A4"/>
      <selection pane="topRight" activeCell="C1" sqref="C1"/>
      <selection pane="bottomRight" sqref="A1:I1"/>
    </sheetView>
  </sheetViews>
  <sheetFormatPr defaultRowHeight="13.8"/>
  <cols>
    <col min="1" max="1" width="26" customWidth="1"/>
    <col min="2" max="2" width="42" customWidth="1"/>
    <col min="3" max="3" width="20" customWidth="1"/>
    <col min="4" max="4" width="28" customWidth="1"/>
    <col min="5" max="5" width="12" customWidth="1"/>
    <col min="6" max="6" width="22" customWidth="1"/>
    <col min="7" max="7" width="38" customWidth="1"/>
    <col min="8" max="8" width="48" customWidth="1"/>
    <col min="9" max="9" width="38" customWidth="1"/>
  </cols>
  <sheetData>
    <row r="1" spans="1:9" ht="30" customHeight="1">
      <c r="A1" s="28" t="s">
        <v>987</v>
      </c>
      <c r="B1" s="28"/>
      <c r="C1" s="28"/>
      <c r="D1" s="28"/>
      <c r="E1" s="28"/>
      <c r="F1" s="28"/>
      <c r="G1" s="28"/>
      <c r="H1" s="28"/>
      <c r="I1" s="28"/>
    </row>
    <row r="2" spans="1:9" ht="34.049999999999997" customHeight="1">
      <c r="A2" s="29" t="s">
        <v>988</v>
      </c>
      <c r="B2" s="29"/>
      <c r="C2" s="29"/>
      <c r="D2" s="29"/>
      <c r="E2" s="29"/>
      <c r="F2" s="29"/>
      <c r="G2" s="29"/>
      <c r="H2" s="29"/>
      <c r="I2" s="29"/>
    </row>
    <row r="3" spans="1:9" ht="31.95" customHeight="1">
      <c r="A3" s="1" t="s">
        <v>989</v>
      </c>
      <c r="B3" s="1" t="s">
        <v>990</v>
      </c>
      <c r="C3" s="1" t="s">
        <v>320</v>
      </c>
      <c r="D3" s="1" t="s">
        <v>991</v>
      </c>
      <c r="E3" s="1" t="s">
        <v>992</v>
      </c>
      <c r="F3" s="1" t="s">
        <v>57</v>
      </c>
      <c r="G3" s="1" t="s">
        <v>993</v>
      </c>
      <c r="H3" s="1" t="s">
        <v>994</v>
      </c>
      <c r="I3" s="1" t="s">
        <v>995</v>
      </c>
    </row>
    <row r="4" spans="1:9" ht="45.6">
      <c r="A4" s="2" t="s">
        <v>68</v>
      </c>
      <c r="B4" s="2" t="s">
        <v>996</v>
      </c>
      <c r="C4" s="2" t="s">
        <v>997</v>
      </c>
      <c r="D4" s="2" t="s">
        <v>368</v>
      </c>
      <c r="E4" s="2" t="s">
        <v>998</v>
      </c>
      <c r="F4" s="2" t="s">
        <v>992</v>
      </c>
      <c r="G4" s="2" t="s">
        <v>999</v>
      </c>
      <c r="H4" s="2" t="s">
        <v>1000</v>
      </c>
      <c r="I4" s="2" t="s">
        <v>1001</v>
      </c>
    </row>
    <row r="5" spans="1:9" ht="57">
      <c r="A5" s="2" t="s">
        <v>1002</v>
      </c>
      <c r="B5" s="2" t="s">
        <v>1003</v>
      </c>
      <c r="C5" s="2" t="s">
        <v>997</v>
      </c>
      <c r="D5" s="2" t="s">
        <v>1004</v>
      </c>
      <c r="E5" s="2" t="s">
        <v>998</v>
      </c>
      <c r="F5" s="2" t="s">
        <v>992</v>
      </c>
      <c r="G5" s="2" t="s">
        <v>1005</v>
      </c>
      <c r="H5" s="2" t="s">
        <v>1000</v>
      </c>
      <c r="I5" s="2" t="s">
        <v>1001</v>
      </c>
    </row>
    <row r="6" spans="1:9" ht="57">
      <c r="A6" s="2" t="s">
        <v>1006</v>
      </c>
      <c r="B6" s="2" t="s">
        <v>1003</v>
      </c>
      <c r="C6" s="2" t="s">
        <v>997</v>
      </c>
      <c r="D6" s="2" t="s">
        <v>1007</v>
      </c>
      <c r="E6" s="2" t="s">
        <v>998</v>
      </c>
      <c r="F6" s="2" t="s">
        <v>992</v>
      </c>
      <c r="G6" s="2" t="s">
        <v>1005</v>
      </c>
      <c r="H6" s="2" t="s">
        <v>1000</v>
      </c>
      <c r="I6" s="2" t="s">
        <v>1001</v>
      </c>
    </row>
    <row r="7" spans="1:9">
      <c r="A7" s="2" t="s">
        <v>1008</v>
      </c>
      <c r="B7" s="2" t="s">
        <v>1009</v>
      </c>
      <c r="C7" s="2" t="s">
        <v>1010</v>
      </c>
      <c r="D7" s="2"/>
      <c r="E7" s="2" t="s">
        <v>1011</v>
      </c>
      <c r="F7" s="2" t="s">
        <v>1012</v>
      </c>
      <c r="G7" s="2" t="s">
        <v>1013</v>
      </c>
      <c r="H7" s="2" t="s">
        <v>1014</v>
      </c>
      <c r="I7" s="2" t="s">
        <v>1015</v>
      </c>
    </row>
    <row r="8" spans="1:9">
      <c r="A8" s="2" t="s">
        <v>1016</v>
      </c>
      <c r="B8" s="2" t="s">
        <v>1017</v>
      </c>
      <c r="C8" s="2" t="s">
        <v>1010</v>
      </c>
      <c r="D8" s="2"/>
      <c r="E8" s="2" t="s">
        <v>1011</v>
      </c>
      <c r="F8" s="2" t="s">
        <v>1012</v>
      </c>
      <c r="G8" s="2" t="s">
        <v>1018</v>
      </c>
      <c r="H8" s="2" t="s">
        <v>1014</v>
      </c>
      <c r="I8" s="2" t="s">
        <v>1015</v>
      </c>
    </row>
    <row r="9" spans="1:9">
      <c r="A9" s="2" t="s">
        <v>1019</v>
      </c>
      <c r="B9" s="2" t="s">
        <v>1020</v>
      </c>
      <c r="C9" s="2" t="s">
        <v>1010</v>
      </c>
      <c r="D9" s="2"/>
      <c r="E9" s="2" t="s">
        <v>1011</v>
      </c>
      <c r="F9" s="2" t="s">
        <v>1012</v>
      </c>
      <c r="G9" s="2" t="s">
        <v>1021</v>
      </c>
      <c r="H9" s="2" t="s">
        <v>1014</v>
      </c>
      <c r="I9" s="2" t="s">
        <v>1015</v>
      </c>
    </row>
    <row r="10" spans="1:9">
      <c r="A10" s="2" t="s">
        <v>1022</v>
      </c>
      <c r="B10" s="2" t="s">
        <v>1023</v>
      </c>
      <c r="C10" s="2" t="s">
        <v>1010</v>
      </c>
      <c r="D10" s="2"/>
      <c r="E10" s="2" t="s">
        <v>1011</v>
      </c>
      <c r="F10" s="2" t="s">
        <v>1012</v>
      </c>
      <c r="G10" s="2" t="s">
        <v>1021</v>
      </c>
      <c r="H10" s="2" t="s">
        <v>1014</v>
      </c>
      <c r="I10" s="2" t="s">
        <v>1015</v>
      </c>
    </row>
    <row r="11" spans="1:9">
      <c r="A11" s="2" t="s">
        <v>1024</v>
      </c>
      <c r="B11" s="2" t="s">
        <v>1025</v>
      </c>
      <c r="C11" s="2" t="s">
        <v>1010</v>
      </c>
      <c r="D11" s="2"/>
      <c r="E11" s="2" t="s">
        <v>1011</v>
      </c>
      <c r="F11" s="2" t="s">
        <v>1012</v>
      </c>
      <c r="G11" s="2" t="s">
        <v>1021</v>
      </c>
      <c r="H11" s="2" t="s">
        <v>1014</v>
      </c>
      <c r="I11" s="2" t="s">
        <v>1015</v>
      </c>
    </row>
    <row r="12" spans="1:9">
      <c r="A12" s="2" t="s">
        <v>1026</v>
      </c>
      <c r="B12" s="2" t="s">
        <v>1027</v>
      </c>
      <c r="C12" s="2" t="s">
        <v>1010</v>
      </c>
      <c r="D12" s="2"/>
      <c r="E12" s="2" t="s">
        <v>1011</v>
      </c>
      <c r="F12" s="2" t="s">
        <v>1012</v>
      </c>
      <c r="G12" s="2" t="s">
        <v>1028</v>
      </c>
      <c r="H12" s="2" t="s">
        <v>1014</v>
      </c>
      <c r="I12" s="2" t="s">
        <v>1015</v>
      </c>
    </row>
    <row r="13" spans="1:9">
      <c r="A13" s="2" t="s">
        <v>1029</v>
      </c>
      <c r="B13" s="2" t="s">
        <v>1030</v>
      </c>
      <c r="C13" s="2" t="s">
        <v>1010</v>
      </c>
      <c r="D13" s="2"/>
      <c r="E13" s="2" t="s">
        <v>1011</v>
      </c>
      <c r="F13" s="2" t="s">
        <v>1012</v>
      </c>
      <c r="G13" s="2" t="s">
        <v>1028</v>
      </c>
      <c r="H13" s="2" t="s">
        <v>1014</v>
      </c>
      <c r="I13" s="2" t="s">
        <v>1015</v>
      </c>
    </row>
    <row r="14" spans="1:9">
      <c r="A14" s="2" t="s">
        <v>1031</v>
      </c>
      <c r="B14" s="2" t="s">
        <v>1032</v>
      </c>
      <c r="C14" s="2" t="s">
        <v>1010</v>
      </c>
      <c r="D14" s="2"/>
      <c r="E14" s="2" t="s">
        <v>1011</v>
      </c>
      <c r="F14" s="2" t="s">
        <v>1012</v>
      </c>
      <c r="G14" s="2" t="s">
        <v>1033</v>
      </c>
      <c r="H14" s="2" t="s">
        <v>1014</v>
      </c>
      <c r="I14" s="2" t="s">
        <v>1015</v>
      </c>
    </row>
    <row r="15" spans="1:9" ht="22.8">
      <c r="A15" s="2" t="s">
        <v>1034</v>
      </c>
      <c r="B15" s="2" t="s">
        <v>1035</v>
      </c>
      <c r="C15" s="2" t="s">
        <v>1010</v>
      </c>
      <c r="D15" s="2"/>
      <c r="E15" s="2" t="s">
        <v>1011</v>
      </c>
      <c r="F15" s="2" t="s">
        <v>1012</v>
      </c>
      <c r="G15" s="2" t="s">
        <v>1036</v>
      </c>
      <c r="H15" s="2" t="s">
        <v>1014</v>
      </c>
      <c r="I15" s="2" t="s">
        <v>1015</v>
      </c>
    </row>
    <row r="16" spans="1:9">
      <c r="A16" s="2" t="s">
        <v>1037</v>
      </c>
      <c r="B16" s="2" t="s">
        <v>1038</v>
      </c>
      <c r="C16" s="2" t="s">
        <v>1039</v>
      </c>
      <c r="D16" s="2"/>
      <c r="E16" s="2" t="s">
        <v>1011</v>
      </c>
      <c r="F16" s="2" t="s">
        <v>1040</v>
      </c>
      <c r="G16" s="2" t="s">
        <v>1041</v>
      </c>
      <c r="H16" s="2" t="s">
        <v>1042</v>
      </c>
      <c r="I16" s="2" t="s">
        <v>1015</v>
      </c>
    </row>
    <row r="17" spans="1:9">
      <c r="A17" s="2" t="s">
        <v>1043</v>
      </c>
      <c r="B17" s="2" t="s">
        <v>1044</v>
      </c>
      <c r="C17" s="2" t="s">
        <v>1039</v>
      </c>
      <c r="D17" s="2"/>
      <c r="E17" s="2" t="s">
        <v>1011</v>
      </c>
      <c r="F17" s="2" t="s">
        <v>1040</v>
      </c>
      <c r="G17" s="2" t="s">
        <v>1045</v>
      </c>
      <c r="H17" s="2" t="s">
        <v>1042</v>
      </c>
      <c r="I17" s="2" t="s">
        <v>1015</v>
      </c>
    </row>
    <row r="18" spans="1:9">
      <c r="A18" s="2" t="s">
        <v>1046</v>
      </c>
      <c r="B18" s="2" t="s">
        <v>1047</v>
      </c>
      <c r="C18" s="2" t="s">
        <v>1039</v>
      </c>
      <c r="D18" s="2"/>
      <c r="E18" s="2" t="s">
        <v>1011</v>
      </c>
      <c r="F18" s="2" t="s">
        <v>1040</v>
      </c>
      <c r="G18" s="2" t="s">
        <v>1045</v>
      </c>
      <c r="H18" s="2" t="s">
        <v>1042</v>
      </c>
      <c r="I18" s="2" t="s">
        <v>1015</v>
      </c>
    </row>
    <row r="19" spans="1:9">
      <c r="A19" s="2" t="s">
        <v>1048</v>
      </c>
      <c r="B19" s="2" t="s">
        <v>1049</v>
      </c>
      <c r="C19" s="2" t="s">
        <v>1039</v>
      </c>
      <c r="D19" s="2"/>
      <c r="E19" s="2" t="s">
        <v>1011</v>
      </c>
      <c r="F19" s="2" t="s">
        <v>1040</v>
      </c>
      <c r="G19" s="2" t="s">
        <v>1050</v>
      </c>
      <c r="H19" s="2" t="s">
        <v>1042</v>
      </c>
      <c r="I19" s="2" t="s">
        <v>1015</v>
      </c>
    </row>
    <row r="20" spans="1:9">
      <c r="A20" s="2" t="s">
        <v>1051</v>
      </c>
      <c r="B20" s="2" t="s">
        <v>1052</v>
      </c>
      <c r="C20" s="2" t="s">
        <v>1039</v>
      </c>
      <c r="D20" s="2"/>
      <c r="E20" s="2" t="s">
        <v>1011</v>
      </c>
      <c r="F20" s="2" t="s">
        <v>1040</v>
      </c>
      <c r="G20" s="2" t="s">
        <v>1045</v>
      </c>
      <c r="H20" s="2" t="s">
        <v>1042</v>
      </c>
      <c r="I20" s="2" t="s">
        <v>1015</v>
      </c>
    </row>
    <row r="21" spans="1:9">
      <c r="A21" s="2" t="s">
        <v>1053</v>
      </c>
      <c r="B21" s="2" t="s">
        <v>1054</v>
      </c>
      <c r="C21" s="2" t="s">
        <v>1039</v>
      </c>
      <c r="D21" s="2"/>
      <c r="E21" s="2" t="s">
        <v>1011</v>
      </c>
      <c r="F21" s="2" t="s">
        <v>1040</v>
      </c>
      <c r="G21" s="2" t="s">
        <v>1055</v>
      </c>
      <c r="H21" s="2" t="s">
        <v>1042</v>
      </c>
      <c r="I21" s="2" t="s">
        <v>1015</v>
      </c>
    </row>
    <row r="22" spans="1:9">
      <c r="A22" s="2" t="s">
        <v>1056</v>
      </c>
      <c r="B22" s="2" t="s">
        <v>1057</v>
      </c>
      <c r="C22" s="2" t="s">
        <v>1058</v>
      </c>
      <c r="D22" s="2" t="s">
        <v>1059</v>
      </c>
      <c r="E22" s="2" t="s">
        <v>998</v>
      </c>
      <c r="F22" s="2" t="s">
        <v>1060</v>
      </c>
      <c r="G22" s="2" t="s">
        <v>70</v>
      </c>
      <c r="H22" s="2" t="s">
        <v>1061</v>
      </c>
      <c r="I22" s="2" t="s">
        <v>1001</v>
      </c>
    </row>
  </sheetData>
  <mergeCells count="2">
    <mergeCell ref="A1:I1"/>
    <mergeCell ref="A2:I2"/>
  </mergeCells>
  <conditionalFormatting sqref="E4:E22">
    <cfRule type="cellIs" dxfId="44" priority="1" operator="equal">
      <formula>"YES"</formula>
    </cfRule>
    <cfRule type="cellIs" dxfId="43" priority="2" operator="equal">
      <formula>"NO"</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
  <sheetViews>
    <sheetView showGridLines="0" workbookViewId="0">
      <pane xSplit="3" ySplit="3" topLeftCell="D4" activePane="bottomRight" state="frozenSplit"/>
      <selection pane="bottomLeft" activeCell="A4" sqref="A4"/>
      <selection pane="topRight" activeCell="D1" sqref="D1"/>
      <selection pane="bottomRight" sqref="A1:H1"/>
    </sheetView>
  </sheetViews>
  <sheetFormatPr defaultRowHeight="13.8"/>
  <cols>
    <col min="1" max="1" width="22" customWidth="1"/>
    <col min="2" max="2" width="18" customWidth="1"/>
    <col min="3" max="3" width="12" customWidth="1"/>
    <col min="4" max="4" width="48" customWidth="1"/>
    <col min="5" max="5" width="28" customWidth="1"/>
    <col min="6" max="6" width="24" customWidth="1"/>
    <col min="7" max="7" width="16" customWidth="1"/>
    <col min="8" max="8" width="42" customWidth="1"/>
  </cols>
  <sheetData>
    <row r="1" spans="1:8" ht="30" customHeight="1">
      <c r="A1" s="28" t="s">
        <v>1062</v>
      </c>
      <c r="B1" s="28"/>
      <c r="C1" s="28"/>
      <c r="D1" s="28"/>
      <c r="E1" s="28"/>
      <c r="F1" s="28"/>
      <c r="G1" s="28"/>
      <c r="H1" s="28"/>
    </row>
    <row r="2" spans="1:8" ht="34.049999999999997" customHeight="1">
      <c r="A2" s="29" t="s">
        <v>1063</v>
      </c>
      <c r="B2" s="29"/>
      <c r="C2" s="29"/>
      <c r="D2" s="29"/>
      <c r="E2" s="29"/>
      <c r="F2" s="29"/>
      <c r="G2" s="29"/>
      <c r="H2" s="29"/>
    </row>
    <row r="3" spans="1:8" ht="31.95" customHeight="1">
      <c r="A3" s="1" t="s">
        <v>54</v>
      </c>
      <c r="B3" s="1" t="s">
        <v>55</v>
      </c>
      <c r="C3" s="1" t="s">
        <v>50</v>
      </c>
      <c r="D3" s="1" t="s">
        <v>1064</v>
      </c>
      <c r="E3" s="1" t="s">
        <v>53</v>
      </c>
      <c r="F3" s="1" t="s">
        <v>57</v>
      </c>
      <c r="G3" s="1" t="s">
        <v>58</v>
      </c>
      <c r="H3" s="1" t="s">
        <v>1065</v>
      </c>
    </row>
    <row r="4" spans="1:8">
      <c r="A4" s="3">
        <v>46236.5</v>
      </c>
      <c r="B4" s="2" t="s">
        <v>69</v>
      </c>
      <c r="C4" s="2" t="s">
        <v>11</v>
      </c>
      <c r="D4" s="2" t="s">
        <v>66</v>
      </c>
      <c r="E4" s="2" t="s">
        <v>68</v>
      </c>
      <c r="F4" s="2" t="s">
        <v>10</v>
      </c>
      <c r="G4" s="2" t="str">
        <f t="shared" ref="G4:G32" ca="1" si="0">IF(OR(F4="accepted",F4="accepted_ongoing",F4="accepted_after_correction",F4="superseded_approved",F4="not_applicable_approved"),"CLOSED",IF(A4&lt;NOW(),"OVERDUE","ON TRACK"))</f>
        <v>OVERDUE</v>
      </c>
      <c r="H4" s="2" t="s">
        <v>1066</v>
      </c>
    </row>
    <row r="5" spans="1:8" ht="22.8">
      <c r="A5" s="3">
        <v>46237.75</v>
      </c>
      <c r="B5" s="2" t="s">
        <v>69</v>
      </c>
      <c r="C5" s="2" t="s">
        <v>15</v>
      </c>
      <c r="D5" s="2" t="s">
        <v>77</v>
      </c>
      <c r="E5" s="2" t="s">
        <v>79</v>
      </c>
      <c r="F5" s="2" t="s">
        <v>8</v>
      </c>
      <c r="G5" s="2" t="str">
        <f t="shared" ca="1" si="0"/>
        <v>ON TRACK</v>
      </c>
      <c r="H5" s="2" t="s">
        <v>1067</v>
      </c>
    </row>
    <row r="6" spans="1:8">
      <c r="A6" s="3">
        <v>46238.416666666664</v>
      </c>
      <c r="B6" s="2" t="s">
        <v>69</v>
      </c>
      <c r="C6" s="2" t="s">
        <v>85</v>
      </c>
      <c r="D6" s="2" t="s">
        <v>86</v>
      </c>
      <c r="E6" s="2" t="s">
        <v>68</v>
      </c>
      <c r="F6" s="2" t="s">
        <v>8</v>
      </c>
      <c r="G6" s="2" t="str">
        <f t="shared" ca="1" si="0"/>
        <v>ON TRACK</v>
      </c>
      <c r="H6" s="2" t="s">
        <v>1068</v>
      </c>
    </row>
    <row r="7" spans="1:8">
      <c r="A7" s="3">
        <v>46238.5</v>
      </c>
      <c r="B7" s="2" t="s">
        <v>69</v>
      </c>
      <c r="C7" s="2" t="s">
        <v>92</v>
      </c>
      <c r="D7" s="2" t="s">
        <v>93</v>
      </c>
      <c r="E7" s="2" t="s">
        <v>68</v>
      </c>
      <c r="F7" s="2" t="s">
        <v>10</v>
      </c>
      <c r="G7" s="2" t="str">
        <f t="shared" ca="1" si="0"/>
        <v>ON TRACK</v>
      </c>
      <c r="H7" s="2" t="s">
        <v>1069</v>
      </c>
    </row>
    <row r="8" spans="1:8" ht="34.200000000000003">
      <c r="A8" s="3">
        <v>46238.625</v>
      </c>
      <c r="B8" s="2" t="s">
        <v>69</v>
      </c>
      <c r="C8" s="2" t="s">
        <v>20</v>
      </c>
      <c r="D8" s="2" t="s">
        <v>100</v>
      </c>
      <c r="E8" s="2" t="s">
        <v>102</v>
      </c>
      <c r="F8" s="2" t="s">
        <v>8</v>
      </c>
      <c r="G8" s="2" t="str">
        <f t="shared" ca="1" si="0"/>
        <v>ON TRACK</v>
      </c>
      <c r="H8" s="2" t="s">
        <v>1070</v>
      </c>
    </row>
    <row r="9" spans="1:8">
      <c r="A9" s="3">
        <v>46238.75</v>
      </c>
      <c r="B9" s="2" t="s">
        <v>69</v>
      </c>
      <c r="C9" s="2" t="s">
        <v>26</v>
      </c>
      <c r="D9" s="2" t="s">
        <v>108</v>
      </c>
      <c r="E9" s="2" t="s">
        <v>110</v>
      </c>
      <c r="F9" s="2" t="s">
        <v>8</v>
      </c>
      <c r="G9" s="2" t="str">
        <f t="shared" ca="1" si="0"/>
        <v>ON TRACK</v>
      </c>
      <c r="H9" s="2" t="s">
        <v>1071</v>
      </c>
    </row>
    <row r="10" spans="1:8">
      <c r="A10" s="3">
        <v>46239.416666666664</v>
      </c>
      <c r="B10" s="2" t="s">
        <v>69</v>
      </c>
      <c r="C10" s="2" t="s">
        <v>32</v>
      </c>
      <c r="D10" s="2" t="s">
        <v>118</v>
      </c>
      <c r="E10" s="2" t="s">
        <v>110</v>
      </c>
      <c r="F10" s="2" t="s">
        <v>18</v>
      </c>
      <c r="G10" s="2" t="str">
        <f t="shared" ca="1" si="0"/>
        <v>ON TRACK</v>
      </c>
      <c r="H10" s="2" t="s">
        <v>1072</v>
      </c>
    </row>
    <row r="11" spans="1:8">
      <c r="A11" s="3">
        <v>46240.416666666664</v>
      </c>
      <c r="B11" s="2" t="s">
        <v>69</v>
      </c>
      <c r="C11" s="2" t="s">
        <v>126</v>
      </c>
      <c r="D11" s="2" t="s">
        <v>127</v>
      </c>
      <c r="E11" s="2" t="s">
        <v>110</v>
      </c>
      <c r="F11" s="2" t="s">
        <v>8</v>
      </c>
      <c r="G11" s="2" t="str">
        <f t="shared" ca="1" si="0"/>
        <v>ON TRACK</v>
      </c>
      <c r="H11" s="2" t="s">
        <v>1073</v>
      </c>
    </row>
    <row r="12" spans="1:8">
      <c r="A12" s="3">
        <v>46246.75</v>
      </c>
      <c r="B12" s="2" t="s">
        <v>69</v>
      </c>
      <c r="C12" s="2" t="s">
        <v>36</v>
      </c>
      <c r="D12" s="2" t="s">
        <v>135</v>
      </c>
      <c r="E12" s="2" t="s">
        <v>68</v>
      </c>
      <c r="F12" s="2" t="s">
        <v>10</v>
      </c>
      <c r="G12" s="2" t="str">
        <f t="shared" ca="1" si="0"/>
        <v>ON TRACK</v>
      </c>
      <c r="H12" s="2" t="s">
        <v>1074</v>
      </c>
    </row>
    <row r="13" spans="1:8" ht="22.8">
      <c r="A13" s="3">
        <v>46246.75</v>
      </c>
      <c r="B13" s="2" t="s">
        <v>69</v>
      </c>
      <c r="C13" s="2" t="s">
        <v>142</v>
      </c>
      <c r="D13" s="2" t="s">
        <v>143</v>
      </c>
      <c r="E13" s="2" t="s">
        <v>145</v>
      </c>
      <c r="F13" s="2" t="s">
        <v>10</v>
      </c>
      <c r="G13" s="2" t="str">
        <f t="shared" ca="1" si="0"/>
        <v>ON TRACK</v>
      </c>
      <c r="H13" s="2" t="s">
        <v>1075</v>
      </c>
    </row>
    <row r="14" spans="1:8" ht="22.8">
      <c r="A14" s="3">
        <v>46240.75</v>
      </c>
      <c r="B14" s="2" t="s">
        <v>69</v>
      </c>
      <c r="C14" s="2" t="s">
        <v>151</v>
      </c>
      <c r="D14" s="2" t="s">
        <v>152</v>
      </c>
      <c r="E14" s="2" t="s">
        <v>154</v>
      </c>
      <c r="F14" s="2" t="s">
        <v>8</v>
      </c>
      <c r="G14" s="2" t="str">
        <f t="shared" ca="1" si="0"/>
        <v>ON TRACK</v>
      </c>
      <c r="H14" s="2" t="s">
        <v>1076</v>
      </c>
    </row>
    <row r="15" spans="1:8" ht="34.200000000000003">
      <c r="A15" s="3">
        <v>46246.75</v>
      </c>
      <c r="B15" s="2" t="s">
        <v>69</v>
      </c>
      <c r="C15" s="2" t="s">
        <v>160</v>
      </c>
      <c r="D15" s="2" t="s">
        <v>161</v>
      </c>
      <c r="E15" s="2" t="s">
        <v>163</v>
      </c>
      <c r="F15" s="2" t="s">
        <v>8</v>
      </c>
      <c r="G15" s="2" t="str">
        <f t="shared" ca="1" si="0"/>
        <v>ON TRACK</v>
      </c>
      <c r="H15" s="2" t="s">
        <v>1077</v>
      </c>
    </row>
    <row r="16" spans="1:8" ht="34.200000000000003">
      <c r="A16" s="3">
        <v>46253.5</v>
      </c>
      <c r="B16" s="2" t="s">
        <v>69</v>
      </c>
      <c r="C16" s="2" t="s">
        <v>169</v>
      </c>
      <c r="D16" s="2" t="s">
        <v>170</v>
      </c>
      <c r="E16" s="2" t="s">
        <v>163</v>
      </c>
      <c r="F16" s="2" t="s">
        <v>8</v>
      </c>
      <c r="G16" s="2" t="str">
        <f t="shared" ca="1" si="0"/>
        <v>ON TRACK</v>
      </c>
      <c r="H16" s="2" t="s">
        <v>1078</v>
      </c>
    </row>
    <row r="17" spans="1:8" ht="22.8">
      <c r="A17" s="3">
        <v>46253.75</v>
      </c>
      <c r="B17" s="2" t="s">
        <v>69</v>
      </c>
      <c r="C17" s="2" t="s">
        <v>177</v>
      </c>
      <c r="D17" s="2" t="s">
        <v>178</v>
      </c>
      <c r="E17" s="2" t="s">
        <v>180</v>
      </c>
      <c r="F17" s="2" t="s">
        <v>8</v>
      </c>
      <c r="G17" s="2" t="str">
        <f t="shared" ca="1" si="0"/>
        <v>ON TRACK</v>
      </c>
      <c r="H17" s="2" t="s">
        <v>1079</v>
      </c>
    </row>
    <row r="18" spans="1:8" ht="22.8">
      <c r="A18" s="3">
        <v>46253.75</v>
      </c>
      <c r="B18" s="2" t="s">
        <v>69</v>
      </c>
      <c r="C18" s="2" t="s">
        <v>186</v>
      </c>
      <c r="D18" s="2" t="s">
        <v>187</v>
      </c>
      <c r="E18" s="2" t="s">
        <v>189</v>
      </c>
      <c r="F18" s="2" t="s">
        <v>10</v>
      </c>
      <c r="G18" s="2" t="str">
        <f t="shared" ca="1" si="0"/>
        <v>ON TRACK</v>
      </c>
      <c r="H18" s="2" t="s">
        <v>1080</v>
      </c>
    </row>
    <row r="19" spans="1:8" ht="22.8">
      <c r="A19" s="3">
        <v>46260.5</v>
      </c>
      <c r="B19" s="2" t="s">
        <v>69</v>
      </c>
      <c r="C19" s="2" t="s">
        <v>196</v>
      </c>
      <c r="D19" s="2" t="s">
        <v>197</v>
      </c>
      <c r="E19" s="2" t="s">
        <v>154</v>
      </c>
      <c r="F19" s="2" t="s">
        <v>8</v>
      </c>
      <c r="G19" s="2" t="str">
        <f t="shared" ca="1" si="0"/>
        <v>ON TRACK</v>
      </c>
      <c r="H19" s="2" t="s">
        <v>1081</v>
      </c>
    </row>
    <row r="20" spans="1:8">
      <c r="A20" s="3">
        <v>46260.75</v>
      </c>
      <c r="B20" s="2" t="s">
        <v>69</v>
      </c>
      <c r="C20" s="2" t="s">
        <v>204</v>
      </c>
      <c r="D20" s="2" t="s">
        <v>205</v>
      </c>
      <c r="E20" s="2" t="s">
        <v>110</v>
      </c>
      <c r="F20" s="2" t="s">
        <v>10</v>
      </c>
      <c r="G20" s="2" t="str">
        <f t="shared" ca="1" si="0"/>
        <v>ON TRACK</v>
      </c>
      <c r="H20" s="2" t="s">
        <v>1082</v>
      </c>
    </row>
    <row r="21" spans="1:8" ht="45.6">
      <c r="A21" s="3">
        <v>46260.999305555553</v>
      </c>
      <c r="B21" s="2" t="s">
        <v>69</v>
      </c>
      <c r="C21" s="2" t="s">
        <v>41</v>
      </c>
      <c r="D21" s="2" t="s">
        <v>214</v>
      </c>
      <c r="E21" s="2" t="s">
        <v>216</v>
      </c>
      <c r="F21" s="2" t="s">
        <v>8</v>
      </c>
      <c r="G21" s="2" t="str">
        <f t="shared" ca="1" si="0"/>
        <v>ON TRACK</v>
      </c>
      <c r="H21" s="2" t="s">
        <v>1083</v>
      </c>
    </row>
    <row r="22" spans="1:8" ht="22.8">
      <c r="A22" s="3">
        <v>46261.5</v>
      </c>
      <c r="B22" s="2" t="s">
        <v>69</v>
      </c>
      <c r="C22" s="2" t="s">
        <v>222</v>
      </c>
      <c r="D22" s="2" t="s">
        <v>223</v>
      </c>
      <c r="E22" s="2" t="s">
        <v>225</v>
      </c>
      <c r="F22" s="2" t="s">
        <v>8</v>
      </c>
      <c r="G22" s="2" t="str">
        <f t="shared" ca="1" si="0"/>
        <v>ON TRACK</v>
      </c>
      <c r="H22" s="2" t="s">
        <v>1084</v>
      </c>
    </row>
    <row r="23" spans="1:8">
      <c r="A23" s="3">
        <v>46274.75</v>
      </c>
      <c r="B23" s="2" t="s">
        <v>69</v>
      </c>
      <c r="C23" s="2" t="s">
        <v>231</v>
      </c>
      <c r="D23" s="2" t="s">
        <v>232</v>
      </c>
      <c r="E23" s="2" t="s">
        <v>180</v>
      </c>
      <c r="F23" s="2" t="s">
        <v>8</v>
      </c>
      <c r="G23" s="2" t="str">
        <f t="shared" ca="1" si="0"/>
        <v>ON TRACK</v>
      </c>
      <c r="H23" s="2" t="s">
        <v>1085</v>
      </c>
    </row>
    <row r="24" spans="1:8" ht="68.400000000000006">
      <c r="A24" s="3">
        <v>46280.75</v>
      </c>
      <c r="B24" s="2" t="s">
        <v>69</v>
      </c>
      <c r="C24" s="2" t="s">
        <v>239</v>
      </c>
      <c r="D24" s="2" t="s">
        <v>240</v>
      </c>
      <c r="E24" s="2" t="s">
        <v>242</v>
      </c>
      <c r="F24" s="2" t="s">
        <v>8</v>
      </c>
      <c r="G24" s="2" t="str">
        <f t="shared" ca="1" si="0"/>
        <v>ON TRACK</v>
      </c>
      <c r="H24" s="2" t="s">
        <v>1086</v>
      </c>
    </row>
    <row r="25" spans="1:8" ht="34.200000000000003">
      <c r="A25" s="3">
        <v>46280.75</v>
      </c>
      <c r="B25" s="2" t="s">
        <v>69</v>
      </c>
      <c r="C25" s="2" t="s">
        <v>249</v>
      </c>
      <c r="D25" s="2" t="s">
        <v>250</v>
      </c>
      <c r="E25" s="2" t="s">
        <v>252</v>
      </c>
      <c r="F25" s="2" t="s">
        <v>8</v>
      </c>
      <c r="G25" s="2" t="str">
        <f t="shared" ca="1" si="0"/>
        <v>ON TRACK</v>
      </c>
      <c r="H25" s="2" t="s">
        <v>1087</v>
      </c>
    </row>
    <row r="26" spans="1:8">
      <c r="A26" s="3">
        <v>46267.75</v>
      </c>
      <c r="B26" s="2" t="s">
        <v>69</v>
      </c>
      <c r="C26" s="2" t="s">
        <v>259</v>
      </c>
      <c r="D26" s="2" t="s">
        <v>260</v>
      </c>
      <c r="E26" s="2" t="s">
        <v>110</v>
      </c>
      <c r="F26" s="2" t="s">
        <v>18</v>
      </c>
      <c r="G26" s="2" t="str">
        <f t="shared" ca="1" si="0"/>
        <v>ON TRACK</v>
      </c>
      <c r="H26" s="2" t="s">
        <v>1088</v>
      </c>
    </row>
    <row r="27" spans="1:8">
      <c r="A27" s="3">
        <v>46274.75</v>
      </c>
      <c r="B27" s="2" t="s">
        <v>69</v>
      </c>
      <c r="C27" s="2" t="s">
        <v>268</v>
      </c>
      <c r="D27" s="2" t="s">
        <v>269</v>
      </c>
      <c r="E27" s="2" t="s">
        <v>180</v>
      </c>
      <c r="F27" s="2" t="s">
        <v>18</v>
      </c>
      <c r="G27" s="2" t="str">
        <f t="shared" ca="1" si="0"/>
        <v>ON TRACK</v>
      </c>
      <c r="H27" s="2" t="s">
        <v>1089</v>
      </c>
    </row>
    <row r="28" spans="1:8">
      <c r="A28" s="3">
        <v>46281.75</v>
      </c>
      <c r="B28" s="2" t="s">
        <v>69</v>
      </c>
      <c r="C28" s="2" t="s">
        <v>276</v>
      </c>
      <c r="D28" s="2" t="s">
        <v>277</v>
      </c>
      <c r="E28" s="2" t="s">
        <v>110</v>
      </c>
      <c r="F28" s="2" t="s">
        <v>18</v>
      </c>
      <c r="G28" s="2" t="str">
        <f t="shared" ca="1" si="0"/>
        <v>ON TRACK</v>
      </c>
      <c r="H28" s="2" t="s">
        <v>1090</v>
      </c>
    </row>
    <row r="29" spans="1:8" ht="22.8">
      <c r="A29" s="3">
        <v>46288.75</v>
      </c>
      <c r="B29" s="2" t="s">
        <v>69</v>
      </c>
      <c r="C29" s="2" t="s">
        <v>285</v>
      </c>
      <c r="D29" s="2" t="s">
        <v>286</v>
      </c>
      <c r="E29" s="2" t="s">
        <v>288</v>
      </c>
      <c r="F29" s="2" t="s">
        <v>8</v>
      </c>
      <c r="G29" s="2" t="str">
        <f t="shared" ca="1" si="0"/>
        <v>ON TRACK</v>
      </c>
      <c r="H29" s="2" t="s">
        <v>1091</v>
      </c>
    </row>
    <row r="30" spans="1:8">
      <c r="A30" s="3">
        <v>46290.75</v>
      </c>
      <c r="B30" s="2" t="s">
        <v>69</v>
      </c>
      <c r="C30" s="2" t="s">
        <v>294</v>
      </c>
      <c r="D30" s="2" t="s">
        <v>295</v>
      </c>
      <c r="E30" s="2" t="s">
        <v>110</v>
      </c>
      <c r="F30" s="2" t="s">
        <v>8</v>
      </c>
      <c r="G30" s="2" t="str">
        <f t="shared" ca="1" si="0"/>
        <v>ON TRACK</v>
      </c>
      <c r="H30" s="2" t="s">
        <v>1092</v>
      </c>
    </row>
    <row r="31" spans="1:8">
      <c r="A31" s="3">
        <v>46295.75</v>
      </c>
      <c r="B31" s="2" t="s">
        <v>69</v>
      </c>
      <c r="C31" s="2" t="s">
        <v>301</v>
      </c>
      <c r="D31" s="2" t="s">
        <v>302</v>
      </c>
      <c r="E31" s="2" t="s">
        <v>68</v>
      </c>
      <c r="F31" s="2" t="s">
        <v>18</v>
      </c>
      <c r="G31" s="2" t="str">
        <f t="shared" ca="1" si="0"/>
        <v>ON TRACK</v>
      </c>
      <c r="H31" s="2" t="s">
        <v>1093</v>
      </c>
    </row>
    <row r="32" spans="1:8" ht="22.8">
      <c r="A32" s="3">
        <v>46302.75</v>
      </c>
      <c r="B32" s="2" t="s">
        <v>69</v>
      </c>
      <c r="C32" s="2" t="s">
        <v>309</v>
      </c>
      <c r="D32" s="2" t="s">
        <v>310</v>
      </c>
      <c r="E32" s="2" t="s">
        <v>288</v>
      </c>
      <c r="F32" s="2" t="s">
        <v>8</v>
      </c>
      <c r="G32" s="2" t="str">
        <f t="shared" ca="1" si="0"/>
        <v>ON TRACK</v>
      </c>
      <c r="H32" s="2" t="s">
        <v>1094</v>
      </c>
    </row>
  </sheetData>
  <mergeCells count="2">
    <mergeCell ref="A1:H1"/>
    <mergeCell ref="A2:H2"/>
  </mergeCells>
  <conditionalFormatting sqref="F4:F32">
    <cfRule type="cellIs" dxfId="42" priority="1" operator="equal">
      <formula>"planned"</formula>
    </cfRule>
    <cfRule type="cellIs" dxfId="41" priority="2" operator="equal">
      <formula>"in_progress"</formula>
    </cfRule>
    <cfRule type="cellIs" dxfId="40" priority="3" operator="equal">
      <formula>"partial"</formula>
    </cfRule>
    <cfRule type="cellIs" dxfId="39" priority="4" operator="equal">
      <formula>"evidence_ready"</formula>
    </cfRule>
    <cfRule type="cellIs" dxfId="38" priority="5" operator="equal">
      <formula>"acceptance_check_passed"</formula>
    </cfRule>
    <cfRule type="cellIs" dxfId="37" priority="6" operator="equal">
      <formula>"blocked"</formula>
    </cfRule>
    <cfRule type="cellIs" dxfId="36" priority="7" operator="equal">
      <formula>"accepted"</formula>
    </cfRule>
    <cfRule type="cellIs" dxfId="35" priority="8" operator="equal">
      <formula>"accepted_ongoing"</formula>
    </cfRule>
    <cfRule type="cellIs" dxfId="34" priority="9" operator="equal">
      <formula>"accepted_after_correction"</formula>
    </cfRule>
    <cfRule type="cellIs" dxfId="33" priority="10" operator="equal">
      <formula>"superseded_approved"</formula>
    </cfRule>
    <cfRule type="cellIs" dxfId="32" priority="11" operator="equal">
      <formula>"not_applicable_approved"</formula>
    </cfRule>
  </conditionalFormatting>
  <conditionalFormatting sqref="G4:G32">
    <cfRule type="cellIs" dxfId="31" priority="12" operator="equal">
      <formula>"OVERDUE"</formula>
    </cfRule>
    <cfRule type="cellIs" dxfId="30" priority="13" operator="equal">
      <formula>"ON TRACK"</formula>
    </cfRule>
    <cfRule type="cellIs" dxfId="29" priority="14" operator="equal">
      <formula>"CLOSED"</formula>
    </cfRule>
  </conditionalFormatting>
  <dataValidations count="1">
    <dataValidation type="list" showErrorMessage="1" errorTitle="Invalid schedule status" error="Choose a value from the schedule status drop-down list." sqref="F4:F32" xr:uid="{00000000-0002-0000-0500-000000000000}">
      <formula1>"planned,in_progress,partial,evidence_ready,acceptance_check_passed,blocked,accepted,accepted_ongoing,accepted_after_correction,superseded_approved,not_applicable_approved"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
  <sheetViews>
    <sheetView showGridLines="0" workbookViewId="0">
      <pane xSplit="2" ySplit="3" topLeftCell="C4" activePane="bottomRight" state="frozenSplit"/>
      <selection pane="bottomLeft" activeCell="A4" sqref="A4"/>
      <selection pane="topRight" activeCell="C1" sqref="C1"/>
      <selection pane="bottomRight" sqref="A1:J1"/>
    </sheetView>
  </sheetViews>
  <sheetFormatPr defaultRowHeight="13.8"/>
  <cols>
    <col min="1" max="1" width="16" customWidth="1"/>
    <col min="2" max="2" width="44" customWidth="1"/>
    <col min="3" max="3" width="18" customWidth="1"/>
    <col min="4" max="4" width="28" customWidth="1"/>
    <col min="5" max="5" width="48" customWidth="1"/>
    <col min="6" max="6" width="24" customWidth="1"/>
    <col min="7" max="8" width="22" customWidth="1"/>
    <col min="9" max="9" width="40" customWidth="1"/>
    <col min="10" max="10" width="24" customWidth="1"/>
  </cols>
  <sheetData>
    <row r="1" spans="1:10" ht="30" customHeight="1">
      <c r="A1" s="28" t="s">
        <v>1095</v>
      </c>
      <c r="B1" s="28"/>
      <c r="C1" s="28"/>
      <c r="D1" s="28"/>
      <c r="E1" s="28"/>
      <c r="F1" s="28"/>
      <c r="G1" s="28"/>
      <c r="H1" s="28"/>
      <c r="I1" s="28"/>
      <c r="J1" s="28"/>
    </row>
    <row r="2" spans="1:10" ht="34.049999999999997" customHeight="1">
      <c r="A2" s="29" t="s">
        <v>1096</v>
      </c>
      <c r="B2" s="29"/>
      <c r="C2" s="29"/>
      <c r="D2" s="29"/>
      <c r="E2" s="29"/>
      <c r="F2" s="29"/>
      <c r="G2" s="29"/>
      <c r="H2" s="29"/>
      <c r="I2" s="29"/>
      <c r="J2" s="29"/>
    </row>
    <row r="3" spans="1:10" ht="31.95" customHeight="1">
      <c r="A3" s="1" t="s">
        <v>1097</v>
      </c>
      <c r="B3" s="1" t="s">
        <v>1098</v>
      </c>
      <c r="C3" s="1" t="s">
        <v>1099</v>
      </c>
      <c r="D3" s="1" t="s">
        <v>1100</v>
      </c>
      <c r="E3" s="1" t="s">
        <v>1101</v>
      </c>
      <c r="F3" s="1" t="s">
        <v>1102</v>
      </c>
      <c r="G3" s="1" t="s">
        <v>324</v>
      </c>
      <c r="H3" s="1" t="s">
        <v>1103</v>
      </c>
      <c r="I3" s="1" t="s">
        <v>1104</v>
      </c>
      <c r="J3" s="1" t="s">
        <v>1105</v>
      </c>
    </row>
    <row r="4" spans="1:10">
      <c r="A4" s="2" t="s">
        <v>1106</v>
      </c>
      <c r="B4" s="2" t="s">
        <v>1107</v>
      </c>
      <c r="C4" s="2" t="s">
        <v>1108</v>
      </c>
      <c r="D4" s="2" t="s">
        <v>349</v>
      </c>
      <c r="E4" s="2"/>
      <c r="F4" s="2" t="s">
        <v>1109</v>
      </c>
      <c r="G4" s="2"/>
      <c r="H4" s="2"/>
      <c r="I4" s="2" t="s">
        <v>1110</v>
      </c>
      <c r="J4" s="2" t="s">
        <v>713</v>
      </c>
    </row>
    <row r="5" spans="1:10">
      <c r="A5" s="2" t="s">
        <v>1111</v>
      </c>
      <c r="B5" s="2" t="s">
        <v>1112</v>
      </c>
      <c r="C5" s="2" t="s">
        <v>1108</v>
      </c>
      <c r="D5" s="2" t="s">
        <v>349</v>
      </c>
      <c r="E5" s="2"/>
      <c r="F5" s="2" t="s">
        <v>1109</v>
      </c>
      <c r="G5" s="2"/>
      <c r="H5" s="2"/>
      <c r="I5" s="2" t="s">
        <v>1110</v>
      </c>
      <c r="J5" s="2" t="s">
        <v>713</v>
      </c>
    </row>
    <row r="6" spans="1:10">
      <c r="A6" s="2" t="s">
        <v>1113</v>
      </c>
      <c r="B6" s="2" t="s">
        <v>1114</v>
      </c>
      <c r="C6" s="2" t="s">
        <v>1108</v>
      </c>
      <c r="D6" s="2" t="s">
        <v>349</v>
      </c>
      <c r="E6" s="2"/>
      <c r="F6" s="2" t="s">
        <v>1109</v>
      </c>
      <c r="G6" s="2"/>
      <c r="H6" s="2"/>
      <c r="I6" s="2" t="s">
        <v>1110</v>
      </c>
      <c r="J6" s="2" t="s">
        <v>713</v>
      </c>
    </row>
    <row r="7" spans="1:10">
      <c r="A7" s="2" t="s">
        <v>1115</v>
      </c>
      <c r="B7" s="2" t="s">
        <v>1116</v>
      </c>
      <c r="C7" s="2" t="s">
        <v>1108</v>
      </c>
      <c r="D7" s="2" t="s">
        <v>349</v>
      </c>
      <c r="E7" s="2"/>
      <c r="F7" s="2" t="s">
        <v>1109</v>
      </c>
      <c r="G7" s="2"/>
      <c r="H7" s="2"/>
      <c r="I7" s="2" t="s">
        <v>1110</v>
      </c>
      <c r="J7" s="2" t="s">
        <v>713</v>
      </c>
    </row>
    <row r="8" spans="1:10">
      <c r="A8" s="2" t="s">
        <v>1117</v>
      </c>
      <c r="B8" s="2" t="s">
        <v>1118</v>
      </c>
      <c r="C8" s="2" t="s">
        <v>1108</v>
      </c>
      <c r="D8" s="2" t="s">
        <v>349</v>
      </c>
      <c r="E8" s="2"/>
      <c r="F8" s="2" t="s">
        <v>1109</v>
      </c>
      <c r="G8" s="2"/>
      <c r="H8" s="2"/>
      <c r="I8" s="2" t="s">
        <v>1110</v>
      </c>
      <c r="J8" s="2" t="s">
        <v>713</v>
      </c>
    </row>
    <row r="9" spans="1:10">
      <c r="A9" s="2" t="s">
        <v>1119</v>
      </c>
      <c r="B9" s="2" t="s">
        <v>1120</v>
      </c>
      <c r="C9" s="2" t="s">
        <v>1108</v>
      </c>
      <c r="D9" s="2" t="s">
        <v>349</v>
      </c>
      <c r="E9" s="2"/>
      <c r="F9" s="2" t="s">
        <v>1109</v>
      </c>
      <c r="G9" s="2"/>
      <c r="H9" s="2"/>
      <c r="I9" s="2" t="s">
        <v>1110</v>
      </c>
      <c r="J9" s="2" t="s">
        <v>713</v>
      </c>
    </row>
    <row r="10" spans="1:10">
      <c r="A10" s="2" t="s">
        <v>1121</v>
      </c>
      <c r="B10" s="2" t="s">
        <v>1122</v>
      </c>
      <c r="C10" s="2" t="s">
        <v>1108</v>
      </c>
      <c r="D10" s="2" t="s">
        <v>349</v>
      </c>
      <c r="E10" s="2"/>
      <c r="F10" s="2" t="s">
        <v>1109</v>
      </c>
      <c r="G10" s="2"/>
      <c r="H10" s="2"/>
      <c r="I10" s="2" t="s">
        <v>1110</v>
      </c>
      <c r="J10" s="2" t="s">
        <v>713</v>
      </c>
    </row>
    <row r="11" spans="1:10">
      <c r="A11" s="2" t="s">
        <v>1123</v>
      </c>
      <c r="B11" s="2" t="s">
        <v>1124</v>
      </c>
      <c r="C11" s="2" t="s">
        <v>1125</v>
      </c>
      <c r="D11" s="2" t="s">
        <v>349</v>
      </c>
      <c r="E11" s="2"/>
      <c r="F11" s="2" t="s">
        <v>1109</v>
      </c>
      <c r="G11" s="2"/>
      <c r="H11" s="2"/>
      <c r="I11" s="2" t="s">
        <v>1110</v>
      </c>
      <c r="J11" s="2" t="s">
        <v>713</v>
      </c>
    </row>
    <row r="12" spans="1:10">
      <c r="A12" s="2" t="s">
        <v>1126</v>
      </c>
      <c r="B12" s="2" t="s">
        <v>1127</v>
      </c>
      <c r="C12" s="2" t="s">
        <v>1125</v>
      </c>
      <c r="D12" s="2" t="s">
        <v>349</v>
      </c>
      <c r="E12" s="2"/>
      <c r="F12" s="2" t="s">
        <v>1109</v>
      </c>
      <c r="G12" s="2"/>
      <c r="H12" s="2"/>
      <c r="I12" s="2" t="s">
        <v>1110</v>
      </c>
      <c r="J12" s="2" t="s">
        <v>713</v>
      </c>
    </row>
    <row r="13" spans="1:10">
      <c r="A13" s="2" t="s">
        <v>1128</v>
      </c>
      <c r="B13" s="2" t="s">
        <v>1129</v>
      </c>
      <c r="C13" s="2" t="s">
        <v>1130</v>
      </c>
      <c r="D13" s="2" t="s">
        <v>349</v>
      </c>
      <c r="E13" s="2"/>
      <c r="F13" s="2" t="s">
        <v>1109</v>
      </c>
      <c r="G13" s="2"/>
      <c r="H13" s="2"/>
      <c r="I13" s="2" t="s">
        <v>1110</v>
      </c>
      <c r="J13" s="2" t="s">
        <v>713</v>
      </c>
    </row>
  </sheetData>
  <mergeCells count="2">
    <mergeCell ref="A1:J1"/>
    <mergeCell ref="A2:J2"/>
  </mergeCells>
  <conditionalFormatting sqref="D4:D100">
    <cfRule type="cellIs" dxfId="28" priority="1" operator="equal">
      <formula>"Pending"</formula>
    </cfRule>
    <cfRule type="cellIs" dxfId="27" priority="2" operator="equal">
      <formula>"Confirm"</formula>
    </cfRule>
    <cfRule type="cellIs" dxfId="26" priority="3" operator="equal">
      <formula>"Confirm with correction"</formula>
    </cfRule>
    <cfRule type="cellIs" dxfId="25" priority="4" operator="equal">
      <formula>"Retire or supersede"</formula>
    </cfRule>
    <cfRule type="cellIs" dxfId="24" priority="5" operator="equal">
      <formula>"Defer"</formula>
    </cfRule>
  </conditionalFormatting>
  <dataValidations count="1">
    <dataValidation type="list" showErrorMessage="1" errorTitle="Invalid decision outcome" error="Choose a value from the decision outcome drop-down list." sqref="D4:D100" xr:uid="{00000000-0002-0000-0600-000000000000}">
      <formula1>"Pending,Confirm,Confirm with correction,Retire or supersede,Defer"</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4"/>
  <sheetViews>
    <sheetView showGridLines="0" workbookViewId="0">
      <pane xSplit="2" ySplit="3" topLeftCell="C4" activePane="bottomRight" state="frozenSplit"/>
      <selection pane="bottomLeft" activeCell="A4" sqref="A4"/>
      <selection pane="topRight" activeCell="C1" sqref="C1"/>
      <selection pane="bottomRight" sqref="A1:K1"/>
    </sheetView>
  </sheetViews>
  <sheetFormatPr defaultRowHeight="13.8"/>
  <cols>
    <col min="1" max="1" width="14" customWidth="1"/>
    <col min="2" max="2" width="22" customWidth="1"/>
    <col min="3" max="3" width="15" customWidth="1"/>
    <col min="4" max="4" width="48" customWidth="1"/>
    <col min="5" max="7" width="20" customWidth="1"/>
    <col min="8" max="8" width="24" customWidth="1"/>
    <col min="9" max="10" width="16" customWidth="1"/>
    <col min="11" max="11" width="42" customWidth="1"/>
  </cols>
  <sheetData>
    <row r="1" spans="1:11" ht="30" customHeight="1">
      <c r="A1" s="28" t="s">
        <v>1131</v>
      </c>
      <c r="B1" s="28"/>
      <c r="C1" s="28"/>
      <c r="D1" s="28"/>
      <c r="E1" s="28"/>
      <c r="F1" s="28"/>
      <c r="G1" s="28"/>
      <c r="H1" s="28"/>
      <c r="I1" s="28"/>
      <c r="J1" s="28"/>
      <c r="K1" s="28"/>
    </row>
    <row r="2" spans="1:11" ht="34.049999999999997" customHeight="1">
      <c r="A2" s="29" t="s">
        <v>1132</v>
      </c>
      <c r="B2" s="29"/>
      <c r="C2" s="29"/>
      <c r="D2" s="29"/>
      <c r="E2" s="29"/>
      <c r="F2" s="29"/>
      <c r="G2" s="29"/>
      <c r="H2" s="29"/>
      <c r="I2" s="29"/>
      <c r="J2" s="29"/>
      <c r="K2" s="29"/>
    </row>
    <row r="3" spans="1:11" ht="31.95" customHeight="1">
      <c r="A3" s="1" t="s">
        <v>1133</v>
      </c>
      <c r="B3" s="1" t="s">
        <v>1134</v>
      </c>
      <c r="C3" s="1" t="s">
        <v>1135</v>
      </c>
      <c r="D3" s="1" t="s">
        <v>1136</v>
      </c>
      <c r="E3" s="1" t="s">
        <v>1137</v>
      </c>
      <c r="F3" s="1" t="s">
        <v>1138</v>
      </c>
      <c r="G3" s="1" t="s">
        <v>1139</v>
      </c>
      <c r="H3" s="1" t="s">
        <v>57</v>
      </c>
      <c r="I3" s="1" t="s">
        <v>1140</v>
      </c>
      <c r="J3" s="1" t="s">
        <v>58</v>
      </c>
      <c r="K3" s="1" t="s">
        <v>1141</v>
      </c>
    </row>
    <row r="4" spans="1:11">
      <c r="A4" s="2" t="s">
        <v>1142</v>
      </c>
      <c r="B4" s="2" t="s">
        <v>1143</v>
      </c>
      <c r="C4" s="2">
        <v>30</v>
      </c>
      <c r="D4" s="2" t="s">
        <v>1144</v>
      </c>
      <c r="E4" s="2" t="s">
        <v>368</v>
      </c>
      <c r="F4" s="2"/>
      <c r="G4" s="2"/>
      <c r="H4" s="2" t="s">
        <v>713</v>
      </c>
      <c r="I4" s="4">
        <v>46236.5</v>
      </c>
      <c r="J4" s="2" t="str">
        <f t="shared" ref="J4:J24" ca="1" si="0">IF(OR(H4="Reviewer complete",H4="Adjudicated"),"CLOSED",IF(I4&lt;NOW(),"OVERDUE","ON TRACK"))</f>
        <v>OVERDUE</v>
      </c>
      <c r="K4" s="2" t="s">
        <v>1145</v>
      </c>
    </row>
    <row r="5" spans="1:11">
      <c r="A5" s="2" t="s">
        <v>1146</v>
      </c>
      <c r="B5" s="2" t="s">
        <v>1147</v>
      </c>
      <c r="C5" s="2">
        <v>74</v>
      </c>
      <c r="D5" s="2" t="s">
        <v>1148</v>
      </c>
      <c r="E5" s="2" t="s">
        <v>368</v>
      </c>
      <c r="F5" s="2"/>
      <c r="G5" s="2"/>
      <c r="H5" s="2" t="s">
        <v>713</v>
      </c>
      <c r="I5" s="4">
        <v>46238.5</v>
      </c>
      <c r="J5" s="2" t="str">
        <f t="shared" ca="1" si="0"/>
        <v>ON TRACK</v>
      </c>
      <c r="K5" s="2" t="s">
        <v>1149</v>
      </c>
    </row>
    <row r="6" spans="1:11">
      <c r="A6" s="2" t="s">
        <v>1150</v>
      </c>
      <c r="B6" s="2" t="s">
        <v>1151</v>
      </c>
      <c r="C6" s="2">
        <v>36</v>
      </c>
      <c r="D6" s="2" t="s">
        <v>1152</v>
      </c>
      <c r="E6" s="2" t="s">
        <v>368</v>
      </c>
      <c r="F6" s="2"/>
      <c r="G6" s="2"/>
      <c r="H6" s="2" t="s">
        <v>713</v>
      </c>
      <c r="I6" s="4">
        <v>46238.5</v>
      </c>
      <c r="J6" s="2" t="str">
        <f t="shared" ca="1" si="0"/>
        <v>ON TRACK</v>
      </c>
      <c r="K6" s="2" t="s">
        <v>1149</v>
      </c>
    </row>
    <row r="7" spans="1:11">
      <c r="A7" s="2" t="s">
        <v>1153</v>
      </c>
      <c r="B7" s="2" t="s">
        <v>1154</v>
      </c>
      <c r="C7" s="2">
        <v>82</v>
      </c>
      <c r="D7" s="2" t="s">
        <v>1155</v>
      </c>
      <c r="E7" s="2" t="s">
        <v>368</v>
      </c>
      <c r="F7" s="2"/>
      <c r="G7" s="2"/>
      <c r="H7" s="2" t="s">
        <v>713</v>
      </c>
      <c r="I7" s="4">
        <v>46238.5</v>
      </c>
      <c r="J7" s="2" t="str">
        <f t="shared" ca="1" si="0"/>
        <v>ON TRACK</v>
      </c>
      <c r="K7" s="2" t="s">
        <v>1149</v>
      </c>
    </row>
    <row r="8" spans="1:11">
      <c r="A8" s="2" t="s">
        <v>1156</v>
      </c>
      <c r="B8" s="2" t="s">
        <v>1157</v>
      </c>
      <c r="C8" s="2">
        <v>95</v>
      </c>
      <c r="D8" s="2" t="s">
        <v>1158</v>
      </c>
      <c r="E8" s="2" t="s">
        <v>368</v>
      </c>
      <c r="F8" s="2"/>
      <c r="G8" s="2"/>
      <c r="H8" s="2" t="s">
        <v>713</v>
      </c>
      <c r="I8" s="4">
        <v>46238.5</v>
      </c>
      <c r="J8" s="2" t="str">
        <f t="shared" ca="1" si="0"/>
        <v>ON TRACK</v>
      </c>
      <c r="K8" s="2" t="s">
        <v>1149</v>
      </c>
    </row>
    <row r="9" spans="1:11">
      <c r="A9" s="2" t="s">
        <v>1159</v>
      </c>
      <c r="B9" s="2" t="s">
        <v>1160</v>
      </c>
      <c r="C9" s="2">
        <v>52</v>
      </c>
      <c r="D9" s="2" t="s">
        <v>1161</v>
      </c>
      <c r="E9" s="2" t="s">
        <v>368</v>
      </c>
      <c r="F9" s="2"/>
      <c r="G9" s="2"/>
      <c r="H9" s="2" t="s">
        <v>713</v>
      </c>
      <c r="I9" s="4">
        <v>46243.5</v>
      </c>
      <c r="J9" s="2" t="str">
        <f t="shared" ca="1" si="0"/>
        <v>ON TRACK</v>
      </c>
      <c r="K9" s="2" t="s">
        <v>1149</v>
      </c>
    </row>
    <row r="10" spans="1:11">
      <c r="A10" s="2" t="s">
        <v>1162</v>
      </c>
      <c r="B10" s="2" t="s">
        <v>1163</v>
      </c>
      <c r="C10" s="2">
        <v>23</v>
      </c>
      <c r="D10" s="2" t="s">
        <v>1161</v>
      </c>
      <c r="E10" s="2" t="s">
        <v>368</v>
      </c>
      <c r="F10" s="2"/>
      <c r="G10" s="2"/>
      <c r="H10" s="2" t="s">
        <v>713</v>
      </c>
      <c r="I10" s="4">
        <v>46243.5</v>
      </c>
      <c r="J10" s="2" t="str">
        <f t="shared" ca="1" si="0"/>
        <v>ON TRACK</v>
      </c>
      <c r="K10" s="2" t="s">
        <v>1149</v>
      </c>
    </row>
    <row r="11" spans="1:11">
      <c r="A11" s="2" t="s">
        <v>1164</v>
      </c>
      <c r="B11" s="2" t="s">
        <v>1165</v>
      </c>
      <c r="C11" s="2">
        <v>100</v>
      </c>
      <c r="D11" s="2" t="s">
        <v>1161</v>
      </c>
      <c r="E11" s="2" t="s">
        <v>368</v>
      </c>
      <c r="F11" s="2"/>
      <c r="G11" s="2"/>
      <c r="H11" s="2" t="s">
        <v>713</v>
      </c>
      <c r="I11" s="4">
        <v>46243.5</v>
      </c>
      <c r="J11" s="2" t="str">
        <f t="shared" ca="1" si="0"/>
        <v>ON TRACK</v>
      </c>
      <c r="K11" s="2" t="s">
        <v>1149</v>
      </c>
    </row>
    <row r="12" spans="1:11">
      <c r="A12" s="2" t="s">
        <v>1166</v>
      </c>
      <c r="B12" s="2" t="s">
        <v>1167</v>
      </c>
      <c r="C12" s="2">
        <v>100</v>
      </c>
      <c r="D12" s="2" t="s">
        <v>1161</v>
      </c>
      <c r="E12" s="2" t="s">
        <v>368</v>
      </c>
      <c r="F12" s="2"/>
      <c r="G12" s="2"/>
      <c r="H12" s="2" t="s">
        <v>713</v>
      </c>
      <c r="I12" s="4">
        <v>46243.5</v>
      </c>
      <c r="J12" s="2" t="str">
        <f t="shared" ca="1" si="0"/>
        <v>ON TRACK</v>
      </c>
      <c r="K12" s="2" t="s">
        <v>1149</v>
      </c>
    </row>
    <row r="13" spans="1:11">
      <c r="A13" s="2" t="s">
        <v>1168</v>
      </c>
      <c r="B13" s="2" t="s">
        <v>1169</v>
      </c>
      <c r="C13" s="2">
        <v>100</v>
      </c>
      <c r="D13" s="2" t="s">
        <v>1161</v>
      </c>
      <c r="E13" s="2" t="s">
        <v>368</v>
      </c>
      <c r="F13" s="2"/>
      <c r="G13" s="2"/>
      <c r="H13" s="2" t="s">
        <v>713</v>
      </c>
      <c r="I13" s="4">
        <v>46243.5</v>
      </c>
      <c r="J13" s="2" t="str">
        <f t="shared" ca="1" si="0"/>
        <v>ON TRACK</v>
      </c>
      <c r="K13" s="2" t="s">
        <v>1149</v>
      </c>
    </row>
    <row r="14" spans="1:11">
      <c r="A14" s="2" t="s">
        <v>1170</v>
      </c>
      <c r="B14" s="2" t="s">
        <v>1171</v>
      </c>
      <c r="C14" s="2">
        <v>100</v>
      </c>
      <c r="D14" s="2" t="s">
        <v>1161</v>
      </c>
      <c r="E14" s="2" t="s">
        <v>368</v>
      </c>
      <c r="F14" s="2"/>
      <c r="G14" s="2"/>
      <c r="H14" s="2" t="s">
        <v>713</v>
      </c>
      <c r="I14" s="4">
        <v>46243.5</v>
      </c>
      <c r="J14" s="2" t="str">
        <f t="shared" ca="1" si="0"/>
        <v>ON TRACK</v>
      </c>
      <c r="K14" s="2" t="s">
        <v>1149</v>
      </c>
    </row>
    <row r="15" spans="1:11">
      <c r="A15" s="2" t="s">
        <v>1172</v>
      </c>
      <c r="B15" s="2" t="s">
        <v>1173</v>
      </c>
      <c r="C15" s="2">
        <v>100</v>
      </c>
      <c r="D15" s="2" t="s">
        <v>1161</v>
      </c>
      <c r="E15" s="2" t="s">
        <v>368</v>
      </c>
      <c r="F15" s="2"/>
      <c r="G15" s="2"/>
      <c r="H15" s="2" t="s">
        <v>713</v>
      </c>
      <c r="I15" s="4">
        <v>46243.5</v>
      </c>
      <c r="J15" s="2" t="str">
        <f t="shared" ca="1" si="0"/>
        <v>ON TRACK</v>
      </c>
      <c r="K15" s="2" t="s">
        <v>1149</v>
      </c>
    </row>
    <row r="16" spans="1:11">
      <c r="A16" s="2" t="s">
        <v>1174</v>
      </c>
      <c r="B16" s="2" t="s">
        <v>1175</v>
      </c>
      <c r="C16" s="2">
        <v>100</v>
      </c>
      <c r="D16" s="2" t="s">
        <v>1161</v>
      </c>
      <c r="E16" s="2" t="s">
        <v>368</v>
      </c>
      <c r="F16" s="2"/>
      <c r="G16" s="2"/>
      <c r="H16" s="2" t="s">
        <v>713</v>
      </c>
      <c r="I16" s="4">
        <v>46243.5</v>
      </c>
      <c r="J16" s="2" t="str">
        <f t="shared" ca="1" si="0"/>
        <v>ON TRACK</v>
      </c>
      <c r="K16" s="2" t="s">
        <v>1149</v>
      </c>
    </row>
    <row r="17" spans="1:11">
      <c r="A17" s="2" t="s">
        <v>1176</v>
      </c>
      <c r="B17" s="2" t="s">
        <v>1177</v>
      </c>
      <c r="C17" s="2">
        <v>100</v>
      </c>
      <c r="D17" s="2" t="s">
        <v>1161</v>
      </c>
      <c r="E17" s="2" t="s">
        <v>368</v>
      </c>
      <c r="F17" s="2"/>
      <c r="G17" s="2"/>
      <c r="H17" s="2" t="s">
        <v>713</v>
      </c>
      <c r="I17" s="4">
        <v>46243.5</v>
      </c>
      <c r="J17" s="2" t="str">
        <f t="shared" ca="1" si="0"/>
        <v>ON TRACK</v>
      </c>
      <c r="K17" s="2" t="s">
        <v>1149</v>
      </c>
    </row>
    <row r="18" spans="1:11">
      <c r="A18" s="2" t="s">
        <v>1178</v>
      </c>
      <c r="B18" s="2" t="s">
        <v>1179</v>
      </c>
      <c r="C18" s="2">
        <v>5</v>
      </c>
      <c r="D18" s="2" t="s">
        <v>1161</v>
      </c>
      <c r="E18" s="2" t="s">
        <v>368</v>
      </c>
      <c r="F18" s="2"/>
      <c r="G18" s="2"/>
      <c r="H18" s="2" t="s">
        <v>713</v>
      </c>
      <c r="I18" s="4">
        <v>46243.5</v>
      </c>
      <c r="J18" s="2" t="str">
        <f t="shared" ca="1" si="0"/>
        <v>ON TRACK</v>
      </c>
      <c r="K18" s="2" t="s">
        <v>1149</v>
      </c>
    </row>
    <row r="19" spans="1:11">
      <c r="A19" s="2" t="s">
        <v>1180</v>
      </c>
      <c r="B19" s="2" t="s">
        <v>1181</v>
      </c>
      <c r="C19" s="2">
        <v>85</v>
      </c>
      <c r="D19" s="2" t="s">
        <v>1161</v>
      </c>
      <c r="E19" s="2" t="s">
        <v>368</v>
      </c>
      <c r="F19" s="2"/>
      <c r="G19" s="2"/>
      <c r="H19" s="2" t="s">
        <v>713</v>
      </c>
      <c r="I19" s="4">
        <v>46243.5</v>
      </c>
      <c r="J19" s="2" t="str">
        <f t="shared" ca="1" si="0"/>
        <v>ON TRACK</v>
      </c>
      <c r="K19" s="2" t="s">
        <v>1149</v>
      </c>
    </row>
    <row r="20" spans="1:11">
      <c r="A20" s="2" t="s">
        <v>1182</v>
      </c>
      <c r="B20" s="2" t="s">
        <v>1183</v>
      </c>
      <c r="C20" s="2">
        <v>43</v>
      </c>
      <c r="D20" s="2" t="s">
        <v>1161</v>
      </c>
      <c r="E20" s="2" t="s">
        <v>368</v>
      </c>
      <c r="F20" s="2"/>
      <c r="G20" s="2"/>
      <c r="H20" s="2" t="s">
        <v>713</v>
      </c>
      <c r="I20" s="4">
        <v>46243.5</v>
      </c>
      <c r="J20" s="2" t="str">
        <f t="shared" ca="1" si="0"/>
        <v>ON TRACK</v>
      </c>
      <c r="K20" s="2" t="s">
        <v>1149</v>
      </c>
    </row>
    <row r="21" spans="1:11">
      <c r="A21" s="2" t="s">
        <v>1184</v>
      </c>
      <c r="B21" s="2" t="s">
        <v>1185</v>
      </c>
      <c r="C21" s="2">
        <v>1</v>
      </c>
      <c r="D21" s="2" t="s">
        <v>1186</v>
      </c>
      <c r="E21" s="2" t="s">
        <v>368</v>
      </c>
      <c r="F21" s="2"/>
      <c r="G21" s="2"/>
      <c r="H21" s="2" t="s">
        <v>713</v>
      </c>
      <c r="I21" s="4">
        <v>46243.5</v>
      </c>
      <c r="J21" s="2" t="str">
        <f t="shared" ca="1" si="0"/>
        <v>ON TRACK</v>
      </c>
      <c r="K21" s="2" t="s">
        <v>1187</v>
      </c>
    </row>
    <row r="22" spans="1:11">
      <c r="A22" s="2" t="s">
        <v>1188</v>
      </c>
      <c r="B22" s="2" t="s">
        <v>1185</v>
      </c>
      <c r="C22" s="2">
        <v>1</v>
      </c>
      <c r="D22" s="2" t="s">
        <v>1189</v>
      </c>
      <c r="E22" s="2"/>
      <c r="F22" s="2"/>
      <c r="G22" s="2"/>
      <c r="H22" s="2" t="s">
        <v>713</v>
      </c>
      <c r="I22" s="4">
        <v>46243.5</v>
      </c>
      <c r="J22" s="2" t="str">
        <f t="shared" ca="1" si="0"/>
        <v>ON TRACK</v>
      </c>
      <c r="K22" s="2" t="s">
        <v>1187</v>
      </c>
    </row>
    <row r="23" spans="1:11">
      <c r="A23" s="2" t="s">
        <v>1190</v>
      </c>
      <c r="B23" s="2" t="s">
        <v>1191</v>
      </c>
      <c r="C23" s="2"/>
      <c r="D23" s="2" t="s">
        <v>1192</v>
      </c>
      <c r="E23" s="2"/>
      <c r="F23" s="2"/>
      <c r="G23" s="2"/>
      <c r="H23" s="2" t="s">
        <v>713</v>
      </c>
      <c r="I23" s="4">
        <v>46245.5</v>
      </c>
      <c r="J23" s="2" t="str">
        <f t="shared" ca="1" si="0"/>
        <v>ON TRACK</v>
      </c>
      <c r="K23" s="2" t="s">
        <v>1193</v>
      </c>
    </row>
    <row r="24" spans="1:11">
      <c r="A24" s="2" t="s">
        <v>1194</v>
      </c>
      <c r="B24" s="2" t="s">
        <v>1195</v>
      </c>
      <c r="C24" s="2">
        <v>1195</v>
      </c>
      <c r="D24" s="2" t="s">
        <v>1196</v>
      </c>
      <c r="E24" s="2"/>
      <c r="F24" s="2"/>
      <c r="G24" s="2"/>
      <c r="H24" s="2" t="s">
        <v>713</v>
      </c>
      <c r="I24" s="4">
        <v>46246.5</v>
      </c>
      <c r="J24" s="2" t="str">
        <f t="shared" ca="1" si="0"/>
        <v>ON TRACK</v>
      </c>
      <c r="K24" s="2" t="s">
        <v>1197</v>
      </c>
    </row>
  </sheetData>
  <mergeCells count="2">
    <mergeCell ref="A1:K1"/>
    <mergeCell ref="A2:K2"/>
  </mergeCells>
  <conditionalFormatting sqref="H4:H100">
    <cfRule type="cellIs" dxfId="23" priority="1" operator="equal">
      <formula>"Not started"</formula>
    </cfRule>
    <cfRule type="cellIs" dxfId="22" priority="2" operator="equal">
      <formula>"Calibration"</formula>
    </cfRule>
    <cfRule type="cellIs" dxfId="21" priority="3" operator="equal">
      <formula>"In progress"</formula>
    </cfRule>
    <cfRule type="cellIs" dxfId="20" priority="4" operator="equal">
      <formula>"Reviewer complete"</formula>
    </cfRule>
    <cfRule type="cellIs" dxfId="19" priority="5" operator="equal">
      <formula>"Adjudication required"</formula>
    </cfRule>
    <cfRule type="cellIs" dxfId="18" priority="6" operator="equal">
      <formula>"Adjudicated"</formula>
    </cfRule>
  </conditionalFormatting>
  <conditionalFormatting sqref="J4:J100">
    <cfRule type="cellIs" dxfId="17" priority="7" operator="equal">
      <formula>"OVERDUE"</formula>
    </cfRule>
    <cfRule type="cellIs" dxfId="16" priority="8" operator="equal">
      <formula>"ON TRACK"</formula>
    </cfRule>
    <cfRule type="cellIs" dxfId="15" priority="9" operator="equal">
      <formula>"CLOSED"</formula>
    </cfRule>
  </conditionalFormatting>
  <dataValidations count="1">
    <dataValidation type="list" showErrorMessage="1" errorTitle="Invalid review status" error="Choose a value from the review status drop-down list." sqref="H4:H100" xr:uid="{00000000-0002-0000-0700-000000000000}">
      <formula1>"Not started,Calibration,In progress,Reviewer complete,Adjudication required,Adjudicated"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0"/>
  <sheetViews>
    <sheetView showGridLines="0" workbookViewId="0">
      <pane xSplit="2" ySplit="3" topLeftCell="C4" activePane="bottomRight" state="frozenSplit"/>
      <selection pane="bottomLeft" activeCell="A4" sqref="A4"/>
      <selection pane="topRight" activeCell="C1" sqref="C1"/>
      <selection pane="bottomRight" sqref="A1:K1"/>
    </sheetView>
  </sheetViews>
  <sheetFormatPr defaultRowHeight="13.8"/>
  <cols>
    <col min="1" max="1" width="12" customWidth="1"/>
    <col min="2" max="2" width="32" customWidth="1"/>
    <col min="3" max="3" width="72" customWidth="1"/>
    <col min="4" max="4" width="22" customWidth="1"/>
    <col min="5" max="5" width="42" customWidth="1"/>
    <col min="6" max="6" width="26" customWidth="1"/>
    <col min="7" max="7" width="20" customWidth="1"/>
    <col min="8" max="9" width="14" customWidth="1"/>
    <col min="10" max="10" width="34" customWidth="1"/>
    <col min="11" max="11" width="42" customWidth="1"/>
  </cols>
  <sheetData>
    <row r="1" spans="1:11" ht="30" customHeight="1">
      <c r="A1" s="28" t="s">
        <v>1198</v>
      </c>
      <c r="B1" s="28"/>
      <c r="C1" s="28"/>
      <c r="D1" s="28"/>
      <c r="E1" s="28"/>
      <c r="F1" s="28"/>
      <c r="G1" s="28"/>
      <c r="H1" s="28"/>
      <c r="I1" s="28"/>
      <c r="J1" s="28"/>
      <c r="K1" s="28"/>
    </row>
    <row r="2" spans="1:11" ht="34.049999999999997" customHeight="1">
      <c r="A2" s="29" t="s">
        <v>1199</v>
      </c>
      <c r="B2" s="29"/>
      <c r="C2" s="29"/>
      <c r="D2" s="29"/>
      <c r="E2" s="29"/>
      <c r="F2" s="29"/>
      <c r="G2" s="29"/>
      <c r="H2" s="29"/>
      <c r="I2" s="29"/>
      <c r="J2" s="29"/>
      <c r="K2" s="29"/>
    </row>
    <row r="3" spans="1:11" ht="31.95" customHeight="1">
      <c r="A3" s="1" t="s">
        <v>1200</v>
      </c>
      <c r="B3" s="1" t="s">
        <v>1201</v>
      </c>
      <c r="C3" s="1" t="s">
        <v>1202</v>
      </c>
      <c r="D3" s="1" t="s">
        <v>1203</v>
      </c>
      <c r="E3" s="1" t="s">
        <v>1204</v>
      </c>
      <c r="F3" s="1" t="s">
        <v>57</v>
      </c>
      <c r="G3" s="1" t="s">
        <v>1205</v>
      </c>
      <c r="H3" s="1" t="s">
        <v>1206</v>
      </c>
      <c r="I3" s="1" t="s">
        <v>1207</v>
      </c>
      <c r="J3" s="1" t="s">
        <v>1208</v>
      </c>
      <c r="K3" s="1" t="s">
        <v>1209</v>
      </c>
    </row>
    <row r="4" spans="1:11" ht="45.6">
      <c r="A4" s="2" t="s">
        <v>1210</v>
      </c>
      <c r="B4" s="2" t="s">
        <v>1211</v>
      </c>
      <c r="C4" s="2" t="s">
        <v>1212</v>
      </c>
      <c r="D4" s="2" t="s">
        <v>1213</v>
      </c>
      <c r="E4" s="2" t="s">
        <v>1214</v>
      </c>
      <c r="F4" s="2" t="s">
        <v>1215</v>
      </c>
      <c r="G4" s="3"/>
      <c r="H4" s="2"/>
      <c r="I4" s="2"/>
      <c r="J4" s="2" t="s">
        <v>1216</v>
      </c>
      <c r="K4" s="2" t="s">
        <v>1217</v>
      </c>
    </row>
    <row r="5" spans="1:11" ht="45.6">
      <c r="A5" s="2" t="s">
        <v>1210</v>
      </c>
      <c r="B5" s="2" t="s">
        <v>1211</v>
      </c>
      <c r="C5" s="2" t="s">
        <v>1212</v>
      </c>
      <c r="D5" s="2" t="s">
        <v>1218</v>
      </c>
      <c r="E5" s="2" t="s">
        <v>1219</v>
      </c>
      <c r="F5" s="2" t="s">
        <v>1215</v>
      </c>
      <c r="G5" s="3"/>
      <c r="H5" s="2"/>
      <c r="I5" s="2"/>
      <c r="J5" s="2" t="s">
        <v>1216</v>
      </c>
      <c r="K5" s="2" t="s">
        <v>1217</v>
      </c>
    </row>
    <row r="6" spans="1:11" ht="45.6">
      <c r="A6" s="2" t="s">
        <v>1210</v>
      </c>
      <c r="B6" s="2" t="s">
        <v>1211</v>
      </c>
      <c r="C6" s="2" t="s">
        <v>1212</v>
      </c>
      <c r="D6" s="2" t="s">
        <v>1220</v>
      </c>
      <c r="E6" s="2" t="s">
        <v>1221</v>
      </c>
      <c r="F6" s="2" t="s">
        <v>1215</v>
      </c>
      <c r="G6" s="3"/>
      <c r="H6" s="2"/>
      <c r="I6" s="2"/>
      <c r="J6" s="2" t="s">
        <v>1216</v>
      </c>
      <c r="K6" s="2" t="s">
        <v>1217</v>
      </c>
    </row>
    <row r="7" spans="1:11" ht="45.6">
      <c r="A7" s="2" t="s">
        <v>1210</v>
      </c>
      <c r="B7" s="2" t="s">
        <v>1211</v>
      </c>
      <c r="C7" s="2" t="s">
        <v>1212</v>
      </c>
      <c r="D7" s="2" t="s">
        <v>1222</v>
      </c>
      <c r="E7" s="2" t="s">
        <v>1223</v>
      </c>
      <c r="F7" s="2" t="s">
        <v>1215</v>
      </c>
      <c r="G7" s="3"/>
      <c r="H7" s="2"/>
      <c r="I7" s="2"/>
      <c r="J7" s="2" t="s">
        <v>1216</v>
      </c>
      <c r="K7" s="2" t="s">
        <v>1217</v>
      </c>
    </row>
    <row r="8" spans="1:11" ht="45.6">
      <c r="A8" s="2" t="s">
        <v>1224</v>
      </c>
      <c r="B8" s="2" t="s">
        <v>1225</v>
      </c>
      <c r="C8" s="2" t="s">
        <v>1226</v>
      </c>
      <c r="D8" s="2" t="s">
        <v>1213</v>
      </c>
      <c r="E8" s="2" t="s">
        <v>1214</v>
      </c>
      <c r="F8" s="2" t="s">
        <v>1215</v>
      </c>
      <c r="G8" s="3"/>
      <c r="H8" s="2"/>
      <c r="I8" s="2"/>
      <c r="J8" s="2" t="s">
        <v>1227</v>
      </c>
      <c r="K8" s="2" t="s">
        <v>1217</v>
      </c>
    </row>
    <row r="9" spans="1:11" ht="45.6">
      <c r="A9" s="2" t="s">
        <v>1224</v>
      </c>
      <c r="B9" s="2" t="s">
        <v>1225</v>
      </c>
      <c r="C9" s="2" t="s">
        <v>1226</v>
      </c>
      <c r="D9" s="2" t="s">
        <v>1218</v>
      </c>
      <c r="E9" s="2" t="s">
        <v>1219</v>
      </c>
      <c r="F9" s="2" t="s">
        <v>1215</v>
      </c>
      <c r="G9" s="3"/>
      <c r="H9" s="2"/>
      <c r="I9" s="2"/>
      <c r="J9" s="2" t="s">
        <v>1227</v>
      </c>
      <c r="K9" s="2" t="s">
        <v>1217</v>
      </c>
    </row>
    <row r="10" spans="1:11" ht="45.6">
      <c r="A10" s="2" t="s">
        <v>1224</v>
      </c>
      <c r="B10" s="2" t="s">
        <v>1225</v>
      </c>
      <c r="C10" s="2" t="s">
        <v>1226</v>
      </c>
      <c r="D10" s="2" t="s">
        <v>1220</v>
      </c>
      <c r="E10" s="2" t="s">
        <v>1221</v>
      </c>
      <c r="F10" s="2" t="s">
        <v>1215</v>
      </c>
      <c r="G10" s="3"/>
      <c r="H10" s="2"/>
      <c r="I10" s="2"/>
      <c r="J10" s="2" t="s">
        <v>1227</v>
      </c>
      <c r="K10" s="2" t="s">
        <v>1217</v>
      </c>
    </row>
    <row r="11" spans="1:11" ht="45.6">
      <c r="A11" s="2" t="s">
        <v>1224</v>
      </c>
      <c r="B11" s="2" t="s">
        <v>1225</v>
      </c>
      <c r="C11" s="2" t="s">
        <v>1226</v>
      </c>
      <c r="D11" s="2" t="s">
        <v>1222</v>
      </c>
      <c r="E11" s="2" t="s">
        <v>1223</v>
      </c>
      <c r="F11" s="2" t="s">
        <v>1215</v>
      </c>
      <c r="G11" s="3"/>
      <c r="H11" s="2"/>
      <c r="I11" s="2"/>
      <c r="J11" s="2" t="s">
        <v>1227</v>
      </c>
      <c r="K11" s="2" t="s">
        <v>1217</v>
      </c>
    </row>
    <row r="12" spans="1:11" ht="57">
      <c r="A12" s="2" t="s">
        <v>1228</v>
      </c>
      <c r="B12" s="2" t="s">
        <v>1229</v>
      </c>
      <c r="C12" s="2" t="s">
        <v>1230</v>
      </c>
      <c r="D12" s="2" t="s">
        <v>1213</v>
      </c>
      <c r="E12" s="2" t="s">
        <v>1214</v>
      </c>
      <c r="F12" s="2" t="s">
        <v>1215</v>
      </c>
      <c r="G12" s="3"/>
      <c r="H12" s="2"/>
      <c r="I12" s="2"/>
      <c r="J12" s="2" t="s">
        <v>1231</v>
      </c>
      <c r="K12" s="2" t="s">
        <v>1217</v>
      </c>
    </row>
    <row r="13" spans="1:11" ht="57">
      <c r="A13" s="2" t="s">
        <v>1228</v>
      </c>
      <c r="B13" s="2" t="s">
        <v>1229</v>
      </c>
      <c r="C13" s="2" t="s">
        <v>1230</v>
      </c>
      <c r="D13" s="2" t="s">
        <v>1218</v>
      </c>
      <c r="E13" s="2" t="s">
        <v>1219</v>
      </c>
      <c r="F13" s="2" t="s">
        <v>1215</v>
      </c>
      <c r="G13" s="3"/>
      <c r="H13" s="2"/>
      <c r="I13" s="2"/>
      <c r="J13" s="2" t="s">
        <v>1231</v>
      </c>
      <c r="K13" s="2" t="s">
        <v>1217</v>
      </c>
    </row>
    <row r="14" spans="1:11" ht="57">
      <c r="A14" s="2" t="s">
        <v>1228</v>
      </c>
      <c r="B14" s="2" t="s">
        <v>1229</v>
      </c>
      <c r="C14" s="2" t="s">
        <v>1230</v>
      </c>
      <c r="D14" s="2" t="s">
        <v>1220</v>
      </c>
      <c r="E14" s="2" t="s">
        <v>1221</v>
      </c>
      <c r="F14" s="2" t="s">
        <v>1215</v>
      </c>
      <c r="G14" s="3"/>
      <c r="H14" s="2"/>
      <c r="I14" s="2"/>
      <c r="J14" s="2" t="s">
        <v>1231</v>
      </c>
      <c r="K14" s="2" t="s">
        <v>1217</v>
      </c>
    </row>
    <row r="15" spans="1:11" ht="57">
      <c r="A15" s="2" t="s">
        <v>1228</v>
      </c>
      <c r="B15" s="2" t="s">
        <v>1229</v>
      </c>
      <c r="C15" s="2" t="s">
        <v>1230</v>
      </c>
      <c r="D15" s="2" t="s">
        <v>1222</v>
      </c>
      <c r="E15" s="2" t="s">
        <v>1223</v>
      </c>
      <c r="F15" s="2" t="s">
        <v>1215</v>
      </c>
      <c r="G15" s="3"/>
      <c r="H15" s="2"/>
      <c r="I15" s="2"/>
      <c r="J15" s="2" t="s">
        <v>1231</v>
      </c>
      <c r="K15" s="2" t="s">
        <v>1217</v>
      </c>
    </row>
    <row r="16" spans="1:11" ht="45.6">
      <c r="A16" s="2" t="s">
        <v>1232</v>
      </c>
      <c r="B16" s="2" t="s">
        <v>1233</v>
      </c>
      <c r="C16" s="2" t="s">
        <v>1234</v>
      </c>
      <c r="D16" s="2" t="s">
        <v>1213</v>
      </c>
      <c r="E16" s="2" t="s">
        <v>1214</v>
      </c>
      <c r="F16" s="2" t="s">
        <v>1215</v>
      </c>
      <c r="G16" s="3"/>
      <c r="H16" s="2"/>
      <c r="I16" s="2"/>
      <c r="J16" s="2" t="s">
        <v>1235</v>
      </c>
      <c r="K16" s="2" t="s">
        <v>1217</v>
      </c>
    </row>
    <row r="17" spans="1:11" ht="45.6">
      <c r="A17" s="2" t="s">
        <v>1232</v>
      </c>
      <c r="B17" s="2" t="s">
        <v>1233</v>
      </c>
      <c r="C17" s="2" t="s">
        <v>1234</v>
      </c>
      <c r="D17" s="2" t="s">
        <v>1218</v>
      </c>
      <c r="E17" s="2" t="s">
        <v>1219</v>
      </c>
      <c r="F17" s="2" t="s">
        <v>1215</v>
      </c>
      <c r="G17" s="3"/>
      <c r="H17" s="2"/>
      <c r="I17" s="2"/>
      <c r="J17" s="2" t="s">
        <v>1235</v>
      </c>
      <c r="K17" s="2" t="s">
        <v>1217</v>
      </c>
    </row>
    <row r="18" spans="1:11" ht="45.6">
      <c r="A18" s="2" t="s">
        <v>1232</v>
      </c>
      <c r="B18" s="2" t="s">
        <v>1233</v>
      </c>
      <c r="C18" s="2" t="s">
        <v>1234</v>
      </c>
      <c r="D18" s="2" t="s">
        <v>1220</v>
      </c>
      <c r="E18" s="2" t="s">
        <v>1221</v>
      </c>
      <c r="F18" s="2" t="s">
        <v>1215</v>
      </c>
      <c r="G18" s="3"/>
      <c r="H18" s="2"/>
      <c r="I18" s="2"/>
      <c r="J18" s="2" t="s">
        <v>1235</v>
      </c>
      <c r="K18" s="2" t="s">
        <v>1217</v>
      </c>
    </row>
    <row r="19" spans="1:11" ht="45.6">
      <c r="A19" s="2" t="s">
        <v>1232</v>
      </c>
      <c r="B19" s="2" t="s">
        <v>1233</v>
      </c>
      <c r="C19" s="2" t="s">
        <v>1234</v>
      </c>
      <c r="D19" s="2" t="s">
        <v>1222</v>
      </c>
      <c r="E19" s="2" t="s">
        <v>1223</v>
      </c>
      <c r="F19" s="2" t="s">
        <v>1215</v>
      </c>
      <c r="G19" s="3"/>
      <c r="H19" s="2"/>
      <c r="I19" s="2"/>
      <c r="J19" s="2" t="s">
        <v>1235</v>
      </c>
      <c r="K19" s="2" t="s">
        <v>1217</v>
      </c>
    </row>
    <row r="20" spans="1:11" ht="57">
      <c r="A20" s="2" t="s">
        <v>1236</v>
      </c>
      <c r="B20" s="2" t="s">
        <v>1237</v>
      </c>
      <c r="C20" s="2" t="s">
        <v>1238</v>
      </c>
      <c r="D20" s="2" t="s">
        <v>1239</v>
      </c>
      <c r="E20" s="2" t="s">
        <v>1240</v>
      </c>
      <c r="F20" s="2" t="s">
        <v>1215</v>
      </c>
      <c r="G20" s="3"/>
      <c r="H20" s="2"/>
      <c r="I20" s="2"/>
      <c r="J20" s="2" t="s">
        <v>1241</v>
      </c>
      <c r="K20" s="2" t="s">
        <v>1217</v>
      </c>
    </row>
  </sheetData>
  <mergeCells count="2">
    <mergeCell ref="A1:K1"/>
    <mergeCell ref="A2:K2"/>
  </mergeCells>
  <conditionalFormatting sqref="F4:F100">
    <cfRule type="cellIs" dxfId="14" priority="1" operator="equal">
      <formula>"Protocol ready / not run"</formula>
    </cfRule>
    <cfRule type="cellIs" dxfId="13" priority="2" operator="equal">
      <formula>"In progress"</formula>
    </cfRule>
    <cfRule type="cellIs" dxfId="12" priority="3" operator="equal">
      <formula>"Executed"</formula>
    </cfRule>
    <cfRule type="cellIs" dxfId="11" priority="4" operator="equal">
      <formula>"Blocked"</formula>
    </cfRule>
    <cfRule type="cellIs" dxfId="10" priority="5" operator="equal">
      <formula>"Not applicable"</formula>
    </cfRule>
  </conditionalFormatting>
  <dataValidations count="1">
    <dataValidation type="list" showErrorMessage="1" errorTitle="Invalid literature status" error="Choose a value from the literature status drop-down list." sqref="F4:F100" xr:uid="{00000000-0002-0000-0800-000000000000}">
      <formula1>"Protocol ready / not run,In progress,Executed,Blocked,Not applicable"</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
  <sheetViews>
    <sheetView showGridLines="0" workbookViewId="0">
      <pane xSplit="2" ySplit="3" topLeftCell="C4" activePane="bottomRight" state="frozenSplit"/>
      <selection pane="bottomLeft" activeCell="A4" sqref="A4"/>
      <selection pane="topRight" activeCell="C1" sqref="C1"/>
      <selection pane="bottomRight" sqref="A1:I1"/>
    </sheetView>
  </sheetViews>
  <sheetFormatPr defaultRowHeight="13.8"/>
  <cols>
    <col min="1" max="1" width="16" customWidth="1"/>
    <col min="2" max="2" width="48" customWidth="1"/>
    <col min="3" max="3" width="38" customWidth="1"/>
    <col min="4" max="4" width="24" customWidth="1"/>
    <col min="5" max="5" width="38" customWidth="1"/>
    <col min="6" max="6" width="20" customWidth="1"/>
    <col min="7" max="7" width="18" customWidth="1"/>
    <col min="8" max="8" width="34" customWidth="1"/>
    <col min="9" max="9" width="42" customWidth="1"/>
  </cols>
  <sheetData>
    <row r="1" spans="1:9" ht="30" customHeight="1">
      <c r="A1" s="28" t="s">
        <v>1242</v>
      </c>
      <c r="B1" s="28"/>
      <c r="C1" s="28"/>
      <c r="D1" s="28"/>
      <c r="E1" s="28"/>
      <c r="F1" s="28"/>
      <c r="G1" s="28"/>
      <c r="H1" s="28"/>
      <c r="I1" s="28"/>
    </row>
    <row r="2" spans="1:9" ht="34.049999999999997" customHeight="1">
      <c r="A2" s="29" t="s">
        <v>1243</v>
      </c>
      <c r="B2" s="29"/>
      <c r="C2" s="29"/>
      <c r="D2" s="29"/>
      <c r="E2" s="29"/>
      <c r="F2" s="29"/>
      <c r="G2" s="29"/>
      <c r="H2" s="29"/>
      <c r="I2" s="29"/>
    </row>
    <row r="3" spans="1:9" ht="31.95" customHeight="1">
      <c r="A3" s="1" t="s">
        <v>1244</v>
      </c>
      <c r="B3" s="1" t="s">
        <v>1245</v>
      </c>
      <c r="C3" s="1" t="s">
        <v>1246</v>
      </c>
      <c r="D3" s="1" t="s">
        <v>1247</v>
      </c>
      <c r="E3" s="1" t="s">
        <v>1248</v>
      </c>
      <c r="F3" s="1" t="s">
        <v>1249</v>
      </c>
      <c r="G3" s="1" t="s">
        <v>1250</v>
      </c>
      <c r="H3" s="1" t="s">
        <v>1251</v>
      </c>
      <c r="I3" s="1" t="s">
        <v>1252</v>
      </c>
    </row>
    <row r="4" spans="1:9">
      <c r="A4" s="2" t="s">
        <v>1253</v>
      </c>
      <c r="B4" s="2" t="s">
        <v>1254</v>
      </c>
      <c r="C4" s="2" t="s">
        <v>1255</v>
      </c>
      <c r="D4" s="2"/>
      <c r="E4" s="2"/>
      <c r="F4" s="4"/>
      <c r="G4" s="2" t="s">
        <v>1256</v>
      </c>
      <c r="H4" s="2" t="s">
        <v>1257</v>
      </c>
      <c r="I4" s="2" t="s">
        <v>1258</v>
      </c>
    </row>
    <row r="5" spans="1:9" ht="34.200000000000003">
      <c r="A5" s="2" t="s">
        <v>1259</v>
      </c>
      <c r="B5" s="2" t="s">
        <v>1260</v>
      </c>
      <c r="C5" s="2" t="s">
        <v>1261</v>
      </c>
      <c r="D5" s="2"/>
      <c r="E5" s="2"/>
      <c r="F5" s="4"/>
      <c r="G5" s="2" t="s">
        <v>1256</v>
      </c>
      <c r="H5" s="2" t="s">
        <v>1257</v>
      </c>
      <c r="I5" s="2" t="s">
        <v>1262</v>
      </c>
    </row>
    <row r="6" spans="1:9">
      <c r="A6" s="2" t="s">
        <v>1263</v>
      </c>
      <c r="B6" s="2" t="s">
        <v>1264</v>
      </c>
      <c r="C6" s="2" t="s">
        <v>1046</v>
      </c>
      <c r="D6" s="2"/>
      <c r="E6" s="2"/>
      <c r="F6" s="4"/>
      <c r="G6" s="2" t="s">
        <v>1256</v>
      </c>
      <c r="H6" s="2" t="s">
        <v>1257</v>
      </c>
      <c r="I6" s="2" t="s">
        <v>1265</v>
      </c>
    </row>
    <row r="7" spans="1:9">
      <c r="A7" s="2" t="s">
        <v>1266</v>
      </c>
      <c r="B7" s="2" t="s">
        <v>1267</v>
      </c>
      <c r="C7" s="2" t="s">
        <v>1268</v>
      </c>
      <c r="D7" s="2"/>
      <c r="E7" s="2"/>
      <c r="F7" s="4"/>
      <c r="G7" s="2" t="s">
        <v>1256</v>
      </c>
      <c r="H7" s="2" t="s">
        <v>1257</v>
      </c>
      <c r="I7" s="2" t="s">
        <v>1269</v>
      </c>
    </row>
    <row r="8" spans="1:9">
      <c r="A8" s="2" t="s">
        <v>1270</v>
      </c>
      <c r="B8" s="2" t="s">
        <v>1271</v>
      </c>
      <c r="C8" s="2" t="s">
        <v>1272</v>
      </c>
      <c r="D8" s="2"/>
      <c r="E8" s="2"/>
      <c r="F8" s="4"/>
      <c r="G8" s="2" t="s">
        <v>1256</v>
      </c>
      <c r="H8" s="2" t="s">
        <v>1257</v>
      </c>
      <c r="I8" s="2" t="s">
        <v>1273</v>
      </c>
    </row>
    <row r="9" spans="1:9" ht="22.8">
      <c r="A9" s="2" t="s">
        <v>1274</v>
      </c>
      <c r="B9" s="2" t="s">
        <v>1275</v>
      </c>
      <c r="C9" s="2" t="s">
        <v>1276</v>
      </c>
      <c r="D9" s="2"/>
      <c r="E9" s="2"/>
      <c r="F9" s="4"/>
      <c r="G9" s="2" t="s">
        <v>1256</v>
      </c>
      <c r="H9" s="2" t="s">
        <v>1257</v>
      </c>
      <c r="I9" s="2" t="s">
        <v>1277</v>
      </c>
    </row>
  </sheetData>
  <mergeCells count="2">
    <mergeCell ref="A1:I1"/>
    <mergeCell ref="A2:I2"/>
  </mergeCells>
  <conditionalFormatting sqref="G4:G100">
    <cfRule type="cellIs" dxfId="9" priority="1" operator="equal">
      <formula>"PASS"</formula>
    </cfRule>
    <cfRule type="cellIs" dxfId="8" priority="2" operator="equal">
      <formula>"FAIL"</formula>
    </cfRule>
    <cfRule type="cellIs" dxfId="7" priority="3" operator="equal">
      <formula>"PENDING"</formula>
    </cfRule>
    <cfRule type="cellIs" dxfId="6" priority="4" operator="equal">
      <formula>"NOT RUN"</formula>
    </cfRule>
    <cfRule type="cellIs" dxfId="5" priority="5" operator="equal">
      <formula>"NOT APPLICABLE"</formula>
    </cfRule>
  </conditionalFormatting>
  <dataValidations count="1">
    <dataValidation type="list" showErrorMessage="1" errorTitle="Invalid medical gate result" error="Choose a value from the medical gate result drop-down list." sqref="G4:G100" xr:uid="{00000000-0002-0000-0900-000000000000}">
      <formula1>"PASS,FAIL,PENDING,NOT RUN,NOT APPLICABLE"</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7"/>
  <sheetViews>
    <sheetView showGridLines="0" workbookViewId="0">
      <pane xSplit="2" ySplit="3" topLeftCell="C4" activePane="bottomRight" state="frozenSplit"/>
      <selection pane="bottomLeft" activeCell="A4" sqref="A4"/>
      <selection pane="topRight" activeCell="C1" sqref="C1"/>
      <selection pane="bottomRight" sqref="A1:G1"/>
    </sheetView>
  </sheetViews>
  <sheetFormatPr defaultRowHeight="13.8"/>
  <cols>
    <col min="1" max="1" width="12" customWidth="1"/>
    <col min="2" max="2" width="42" customWidth="1"/>
    <col min="3" max="4" width="28" customWidth="1"/>
    <col min="5" max="5" width="18" customWidth="1"/>
    <col min="6" max="6" width="46" customWidth="1"/>
    <col min="7" max="7" width="42" customWidth="1"/>
  </cols>
  <sheetData>
    <row r="1" spans="1:7" ht="30" customHeight="1">
      <c r="A1" s="28" t="s">
        <v>1278</v>
      </c>
      <c r="B1" s="28"/>
      <c r="C1" s="28"/>
      <c r="D1" s="28"/>
      <c r="E1" s="28"/>
      <c r="F1" s="28"/>
      <c r="G1" s="28"/>
    </row>
    <row r="2" spans="1:7" ht="34.049999999999997" customHeight="1">
      <c r="A2" s="29" t="s">
        <v>1279</v>
      </c>
      <c r="B2" s="29"/>
      <c r="C2" s="29"/>
      <c r="D2" s="29"/>
      <c r="E2" s="29"/>
      <c r="F2" s="29"/>
      <c r="G2" s="29"/>
    </row>
    <row r="3" spans="1:7" ht="31.95" customHeight="1">
      <c r="A3" s="1" t="s">
        <v>1280</v>
      </c>
      <c r="B3" s="1" t="s">
        <v>1244</v>
      </c>
      <c r="C3" s="1" t="s">
        <v>1281</v>
      </c>
      <c r="D3" s="1" t="s">
        <v>1282</v>
      </c>
      <c r="E3" s="1" t="s">
        <v>1283</v>
      </c>
      <c r="F3" s="1" t="s">
        <v>64</v>
      </c>
      <c r="G3" s="1" t="s">
        <v>1284</v>
      </c>
    </row>
    <row r="4" spans="1:7">
      <c r="A4" s="2" t="s">
        <v>1285</v>
      </c>
      <c r="B4" s="2" t="s">
        <v>1286</v>
      </c>
      <c r="C4" s="2" t="s">
        <v>1287</v>
      </c>
      <c r="D4" s="2" t="s">
        <v>1287</v>
      </c>
      <c r="E4" s="2" t="s">
        <v>1288</v>
      </c>
      <c r="F4" s="2" t="s">
        <v>1289</v>
      </c>
      <c r="G4" s="2" t="s">
        <v>1290</v>
      </c>
    </row>
    <row r="5" spans="1:7">
      <c r="A5" s="2" t="s">
        <v>1291</v>
      </c>
      <c r="B5" s="2" t="s">
        <v>1292</v>
      </c>
      <c r="C5" s="2" t="s">
        <v>1293</v>
      </c>
      <c r="D5" s="2" t="s">
        <v>1293</v>
      </c>
      <c r="E5" s="2" t="s">
        <v>1288</v>
      </c>
      <c r="F5" s="2" t="s">
        <v>1294</v>
      </c>
      <c r="G5" s="2" t="s">
        <v>1295</v>
      </c>
    </row>
    <row r="6" spans="1:7">
      <c r="A6" s="2" t="s">
        <v>1296</v>
      </c>
      <c r="B6" s="2" t="s">
        <v>1297</v>
      </c>
      <c r="C6" s="2" t="s">
        <v>1298</v>
      </c>
      <c r="D6" s="2" t="s">
        <v>1298</v>
      </c>
      <c r="E6" s="2" t="s">
        <v>1288</v>
      </c>
      <c r="F6" s="2" t="s">
        <v>1299</v>
      </c>
      <c r="G6" s="2" t="s">
        <v>1300</v>
      </c>
    </row>
    <row r="7" spans="1:7">
      <c r="A7" s="2" t="s">
        <v>1301</v>
      </c>
      <c r="B7" s="2" t="s">
        <v>1302</v>
      </c>
      <c r="C7" s="2" t="s">
        <v>1303</v>
      </c>
      <c r="D7" s="2" t="s">
        <v>1303</v>
      </c>
      <c r="E7" s="2" t="s">
        <v>1288</v>
      </c>
      <c r="F7" s="2" t="s">
        <v>1304</v>
      </c>
      <c r="G7" s="2" t="s">
        <v>1305</v>
      </c>
    </row>
    <row r="8" spans="1:7">
      <c r="A8" s="2" t="s">
        <v>1306</v>
      </c>
      <c r="B8" s="2" t="s">
        <v>1307</v>
      </c>
      <c r="C8" s="2" t="s">
        <v>1287</v>
      </c>
      <c r="D8" s="2" t="s">
        <v>1287</v>
      </c>
      <c r="E8" s="2" t="s">
        <v>1288</v>
      </c>
      <c r="F8" s="2" t="s">
        <v>1308</v>
      </c>
      <c r="G8" s="2" t="s">
        <v>1309</v>
      </c>
    </row>
    <row r="9" spans="1:7">
      <c r="A9" s="2" t="s">
        <v>1310</v>
      </c>
      <c r="B9" s="2" t="s">
        <v>1311</v>
      </c>
      <c r="C9" s="2" t="s">
        <v>1287</v>
      </c>
      <c r="D9" s="2" t="s">
        <v>1312</v>
      </c>
      <c r="E9" s="2" t="s">
        <v>1313</v>
      </c>
      <c r="F9" s="2" t="s">
        <v>1314</v>
      </c>
      <c r="G9" s="2" t="s">
        <v>1315</v>
      </c>
    </row>
    <row r="10" spans="1:7">
      <c r="A10" s="2" t="s">
        <v>1316</v>
      </c>
      <c r="B10" s="2" t="s">
        <v>1317</v>
      </c>
      <c r="C10" s="2" t="s">
        <v>1287</v>
      </c>
      <c r="D10" s="2" t="s">
        <v>1318</v>
      </c>
      <c r="E10" s="2" t="s">
        <v>1313</v>
      </c>
      <c r="F10" s="2" t="s">
        <v>1319</v>
      </c>
      <c r="G10" s="2" t="s">
        <v>1315</v>
      </c>
    </row>
    <row r="11" spans="1:7">
      <c r="A11" s="2" t="s">
        <v>1320</v>
      </c>
      <c r="B11" s="2" t="s">
        <v>1321</v>
      </c>
      <c r="C11" s="2" t="s">
        <v>1287</v>
      </c>
      <c r="D11" s="2" t="s">
        <v>1318</v>
      </c>
      <c r="E11" s="2" t="s">
        <v>1313</v>
      </c>
      <c r="F11" s="2" t="s">
        <v>27</v>
      </c>
      <c r="G11" s="2" t="s">
        <v>1322</v>
      </c>
    </row>
    <row r="12" spans="1:7">
      <c r="A12" s="2" t="s">
        <v>1323</v>
      </c>
      <c r="B12" s="2" t="s">
        <v>1324</v>
      </c>
      <c r="C12" s="2" t="s">
        <v>1287</v>
      </c>
      <c r="D12" s="2" t="s">
        <v>1256</v>
      </c>
      <c r="E12" s="2" t="s">
        <v>1325</v>
      </c>
      <c r="F12" s="2" t="s">
        <v>1326</v>
      </c>
      <c r="G12" s="2" t="s">
        <v>1327</v>
      </c>
    </row>
    <row r="13" spans="1:7">
      <c r="A13" s="2" t="s">
        <v>1328</v>
      </c>
      <c r="B13" s="2" t="s">
        <v>1329</v>
      </c>
      <c r="C13" s="2" t="s">
        <v>1287</v>
      </c>
      <c r="D13" s="2" t="s">
        <v>1318</v>
      </c>
      <c r="E13" s="2" t="s">
        <v>1330</v>
      </c>
      <c r="F13" s="2" t="s">
        <v>1331</v>
      </c>
      <c r="G13" s="2" t="s">
        <v>1332</v>
      </c>
    </row>
    <row r="14" spans="1:7">
      <c r="A14" s="2" t="s">
        <v>1333</v>
      </c>
      <c r="B14" s="2" t="s">
        <v>1334</v>
      </c>
      <c r="C14" s="2" t="s">
        <v>1335</v>
      </c>
      <c r="D14" s="2" t="s">
        <v>1256</v>
      </c>
      <c r="E14" s="2" t="s">
        <v>1336</v>
      </c>
      <c r="F14" s="2" t="s">
        <v>1337</v>
      </c>
      <c r="G14" s="2" t="s">
        <v>1338</v>
      </c>
    </row>
    <row r="15" spans="1:7">
      <c r="A15" s="2" t="s">
        <v>1339</v>
      </c>
      <c r="B15" s="2" t="s">
        <v>34</v>
      </c>
      <c r="C15" s="2" t="s">
        <v>1340</v>
      </c>
      <c r="D15" s="2" t="s">
        <v>1256</v>
      </c>
      <c r="E15" s="2" t="s">
        <v>1341</v>
      </c>
      <c r="F15" s="2" t="s">
        <v>42</v>
      </c>
      <c r="G15" s="2" t="s">
        <v>1342</v>
      </c>
    </row>
    <row r="16" spans="1:7">
      <c r="A16" s="2" t="s">
        <v>1343</v>
      </c>
      <c r="B16" s="2" t="s">
        <v>1344</v>
      </c>
      <c r="C16" s="2" t="s">
        <v>1345</v>
      </c>
      <c r="D16" s="2" t="s">
        <v>1312</v>
      </c>
      <c r="E16" s="2" t="s">
        <v>1346</v>
      </c>
      <c r="F16" s="2" t="s">
        <v>1347</v>
      </c>
      <c r="G16" s="2" t="s">
        <v>1348</v>
      </c>
    </row>
    <row r="17" spans="1:7">
      <c r="A17" s="2" t="s">
        <v>1349</v>
      </c>
      <c r="B17" s="2" t="s">
        <v>1350</v>
      </c>
      <c r="C17" s="2" t="s">
        <v>1287</v>
      </c>
      <c r="D17" s="2" t="s">
        <v>1256</v>
      </c>
      <c r="E17" s="2" t="s">
        <v>1351</v>
      </c>
      <c r="F17" s="2" t="s">
        <v>1352</v>
      </c>
      <c r="G17" s="2" t="s">
        <v>1353</v>
      </c>
    </row>
  </sheetData>
  <mergeCells count="2">
    <mergeCell ref="A1:G1"/>
    <mergeCell ref="A2:G2"/>
  </mergeCells>
  <conditionalFormatting sqref="D4:D100">
    <cfRule type="cellIs" dxfId="4" priority="1" operator="equal">
      <formula>"PASS"</formula>
    </cfRule>
    <cfRule type="cellIs" dxfId="3" priority="2" operator="equal">
      <formula>"FAIL"</formula>
    </cfRule>
    <cfRule type="cellIs" dxfId="2" priority="3" operator="equal">
      <formula>"PENDING"</formula>
    </cfRule>
    <cfRule type="cellIs" dxfId="1" priority="4" operator="equal">
      <formula>"NOT RUN"</formula>
    </cfRule>
    <cfRule type="cellIs" dxfId="0" priority="5" operator="equal">
      <formula>"NOT APPLICABLE"</formula>
    </cfRule>
  </conditionalFormatting>
  <dataValidations count="1">
    <dataValidation type="list" showErrorMessage="1" errorTitle="Invalid acceptance result" error="Choose a value from the acceptance result drop-down list." sqref="D4:D100" xr:uid="{00000000-0002-0000-0A00-000000000000}">
      <formula1>"PASS,FAIL,PENDING,NOT RUN,NOT APPLICABLE,29/29,10/10,10/10; 10/10; 6/6"</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4"/>
  <sheetViews>
    <sheetView showGridLines="0" workbookViewId="0">
      <pane xSplit="1" ySplit="3" topLeftCell="B4" activePane="bottomRight" state="frozenSplit"/>
      <selection pane="bottomLeft" activeCell="A4" sqref="A4"/>
      <selection pane="topRight" activeCell="B1" sqref="B1"/>
      <selection pane="bottomRight" sqref="A1:E1"/>
    </sheetView>
  </sheetViews>
  <sheetFormatPr defaultRowHeight="13.8"/>
  <cols>
    <col min="1" max="1" width="28" customWidth="1"/>
    <col min="2" max="2" width="30" customWidth="1"/>
    <col min="3" max="3" width="22" customWidth="1"/>
    <col min="4" max="4" width="28" customWidth="1"/>
    <col min="5" max="5" width="52" customWidth="1"/>
  </cols>
  <sheetData>
    <row r="1" spans="1:5" ht="30" customHeight="1">
      <c r="A1" s="28" t="s">
        <v>1354</v>
      </c>
      <c r="B1" s="28"/>
      <c r="C1" s="28"/>
      <c r="D1" s="28"/>
      <c r="E1" s="28"/>
    </row>
    <row r="2" spans="1:5" ht="34.049999999999997" customHeight="1">
      <c r="A2" s="29" t="s">
        <v>1355</v>
      </c>
      <c r="B2" s="29"/>
      <c r="C2" s="29"/>
      <c r="D2" s="29"/>
      <c r="E2" s="29"/>
    </row>
    <row r="3" spans="1:5" ht="31.95" customHeight="1">
      <c r="A3" s="1" t="s">
        <v>1356</v>
      </c>
      <c r="B3" s="1" t="s">
        <v>1357</v>
      </c>
      <c r="C3" s="1" t="s">
        <v>1358</v>
      </c>
      <c r="D3" s="1" t="s">
        <v>1359</v>
      </c>
      <c r="E3" s="1" t="s">
        <v>1360</v>
      </c>
    </row>
    <row r="4" spans="1:5">
      <c r="A4" s="2" t="s">
        <v>18</v>
      </c>
      <c r="B4" s="2" t="s">
        <v>349</v>
      </c>
      <c r="C4" s="2" t="s">
        <v>1287</v>
      </c>
      <c r="D4" s="2" t="s">
        <v>713</v>
      </c>
      <c r="E4" s="2" t="s">
        <v>349</v>
      </c>
    </row>
    <row r="5" spans="1:5">
      <c r="A5" s="2" t="s">
        <v>1361</v>
      </c>
      <c r="B5" s="2" t="s">
        <v>1362</v>
      </c>
      <c r="C5" s="2" t="s">
        <v>1256</v>
      </c>
      <c r="D5" s="2" t="s">
        <v>1363</v>
      </c>
      <c r="E5" s="2" t="s">
        <v>1364</v>
      </c>
    </row>
    <row r="6" spans="1:5">
      <c r="A6" s="2" t="s">
        <v>10</v>
      </c>
      <c r="B6" s="2" t="s">
        <v>1365</v>
      </c>
      <c r="C6" s="2" t="s">
        <v>1312</v>
      </c>
      <c r="D6" s="2" t="s">
        <v>1366</v>
      </c>
      <c r="E6" s="2" t="s">
        <v>1367</v>
      </c>
    </row>
    <row r="7" spans="1:5">
      <c r="A7" s="2" t="s">
        <v>24</v>
      </c>
      <c r="B7" s="2" t="s">
        <v>1368</v>
      </c>
      <c r="C7" s="2" t="s">
        <v>1318</v>
      </c>
      <c r="D7" s="2" t="s">
        <v>1369</v>
      </c>
      <c r="E7" s="2" t="s">
        <v>1370</v>
      </c>
    </row>
    <row r="8" spans="1:5">
      <c r="A8" s="2" t="s">
        <v>1371</v>
      </c>
      <c r="B8" s="2" t="s">
        <v>1372</v>
      </c>
      <c r="C8" s="2" t="s">
        <v>1373</v>
      </c>
      <c r="D8" s="2" t="s">
        <v>1374</v>
      </c>
      <c r="E8" s="2" t="s">
        <v>1375</v>
      </c>
    </row>
    <row r="9" spans="1:5">
      <c r="A9" s="2" t="s">
        <v>8</v>
      </c>
      <c r="B9" s="2"/>
      <c r="C9" s="2"/>
      <c r="D9" s="2" t="s">
        <v>1376</v>
      </c>
      <c r="E9" s="2" t="s">
        <v>1377</v>
      </c>
    </row>
    <row r="10" spans="1:5">
      <c r="A10" s="2" t="s">
        <v>1378</v>
      </c>
      <c r="B10" s="2"/>
      <c r="C10" s="2"/>
      <c r="D10" s="2"/>
      <c r="E10" s="2"/>
    </row>
    <row r="11" spans="1:5">
      <c r="A11" s="2" t="s">
        <v>1379</v>
      </c>
      <c r="B11" s="2"/>
      <c r="C11" s="2"/>
      <c r="D11" s="2"/>
      <c r="E11" s="2"/>
    </row>
    <row r="12" spans="1:5">
      <c r="A12" s="2" t="s">
        <v>1380</v>
      </c>
      <c r="B12" s="2"/>
      <c r="C12" s="2"/>
      <c r="D12" s="2"/>
      <c r="E12" s="2"/>
    </row>
    <row r="13" spans="1:5">
      <c r="A13" s="2" t="s">
        <v>1381</v>
      </c>
      <c r="B13" s="2"/>
      <c r="C13" s="2"/>
      <c r="D13" s="2"/>
      <c r="E13" s="2"/>
    </row>
    <row r="14" spans="1:5">
      <c r="A14" s="2" t="s">
        <v>1382</v>
      </c>
      <c r="B14" s="2"/>
      <c r="C14" s="2"/>
      <c r="D14" s="2"/>
      <c r="E14" s="2"/>
    </row>
  </sheetData>
  <mergeCells count="2">
    <mergeCell ref="A1:E1"/>
    <mergeCell ref="A2:E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Executive</vt:lpstr>
      <vt:lpstr>Work_Packages</vt:lpstr>
      <vt:lpstr>Control_Acceptance</vt:lpstr>
      <vt:lpstr>Experiment_Crosswalk</vt:lpstr>
      <vt:lpstr>Role_Assignments</vt:lpstr>
      <vt:lpstr>Schedule</vt:lpstr>
      <vt:lpstr>Decision_Log</vt:lpstr>
      <vt:lpstr>Human_Review</vt:lpstr>
      <vt:lpstr>Literature_Search</vt:lpstr>
      <vt:lpstr>Medical_Gates</vt:lpstr>
      <vt:lpstr>Acceptance_Tests</vt:lpstr>
      <vt:lpstr>Controlled_Lists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Hamed</cp:lastModifiedBy>
  <dcterms:modified xsi:type="dcterms:W3CDTF">2026-08-03T08:04:27Z</dcterms:modified>
</cp:coreProperties>
</file>